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st per gal-mile" sheetId="2" state="visible" r:id="rId2"/>
    <sheet xmlns:r="http://schemas.openxmlformats.org/officeDocument/2006/relationships" name="Derivation" sheetId="3" state="visible" r:id="rId3"/>
    <sheet xmlns:r="http://schemas.openxmlformats.org/officeDocument/2006/relationships" name="Derivation detail" sheetId="4" state="visible" r:id="rId4"/>
    <sheet xmlns:r="http://schemas.openxmlformats.org/officeDocument/2006/relationships" name="Barge build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sz val="11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2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5" fillId="0" borderId="0" applyAlignment="1" pivotButton="0" quotePrefix="0" xfId="0">
      <alignment horizontal="left" vertical="top" wrapText="1"/>
    </xf>
    <xf numFmtId="2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Table 1.  Modality cost rates — overview</t>
        </is>
      </c>
    </row>
    <row r="2">
      <c r="A2" s="2" t="inlineStr">
        <is>
          <t>Per-modality fuel delivery cost rates for the multimodal fuel-network routing layer. Cost rates are the operational $/gallon premium and are kept separate from the environmental friction surface (baseline 1.0).</t>
        </is>
      </c>
    </row>
    <row r="4">
      <c r="A4" s="3" t="inlineStr">
        <is>
          <t>Sheet</t>
        </is>
      </c>
      <c r="B4" s="3" t="inlineStr">
        <is>
          <t>Contents</t>
        </is>
      </c>
    </row>
    <row r="5">
      <c r="A5" s="4" t="inlineStr">
        <is>
          <t>Cost per gal-mile</t>
        </is>
      </c>
      <c r="B5" s="4" t="inlineStr">
        <is>
          <t>Per-modality cost rate ($/gallon-mile), fixed/handling adder, derivation, source</t>
        </is>
      </c>
    </row>
    <row r="6">
      <c r="A6" s="4" t="inlineStr">
        <is>
          <t>Derivation</t>
        </is>
      </c>
      <c r="B6" s="4" t="inlineStr">
        <is>
          <t>Worked arithmetic per mode and the day-to-distance calibration constants</t>
        </is>
      </c>
    </row>
    <row r="7">
      <c r="A7" s="4" t="inlineStr">
        <is>
          <t>Derivation detail</t>
        </is>
      </c>
      <c r="B7" s="4" t="inlineStr">
        <is>
          <t>Provenance of every number in the derivations — value, meaning, and source</t>
        </is>
      </c>
    </row>
    <row r="8">
      <c r="A8" s="4" t="inlineStr">
        <is>
          <t>Barge build</t>
        </is>
      </c>
      <c r="B8" s="4" t="inlineStr">
        <is>
          <t>Two-leg barge cost build (linehaul + lighterage) and validation against ISER tables</t>
        </is>
      </c>
    </row>
    <row r="9">
      <c r="A9" s="4" t="inlineStr">
        <is>
          <t>Sources</t>
        </is>
      </c>
      <c r="B9" s="4" t="inlineStr">
        <is>
          <t>Full citations</t>
        </is>
      </c>
    </row>
    <row r="11">
      <c r="A11" s="2" t="inlineStr">
        <is>
          <t>Rates are unit costs and apply per gallon delivered; no per-community delivered-volume data is required to use them.</t>
        </is>
      </c>
    </row>
    <row r="12">
      <c r="A12" s="2" t="inlineStr">
        <is>
          <t>Sea/river-ice seasonality is captured in the friction raster, not in these cost rates (avoids double-counting).</t>
        </is>
      </c>
    </row>
  </sheetData>
  <mergeCells count="2">
    <mergeCell ref="A11:B1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58" customWidth="1" min="4" max="4"/>
    <col width="32" customWidth="1" min="5" max="5"/>
  </cols>
  <sheetData>
    <row r="1">
      <c r="A1" s="1" t="inlineStr">
        <is>
          <t>Table 2.  Cost per gallon-mile by modality</t>
        </is>
      </c>
    </row>
    <row r="2">
      <c r="A2" s="2" t="inlineStr">
        <is>
          <t>Distance-driven cost expressed as $/gallon-mile; distance-independent cost shown separately as a fixed/handling adder ($/gallon).</t>
        </is>
      </c>
    </row>
    <row r="4">
      <c r="A4" s="3" t="inlineStr">
        <is>
          <t>Modality</t>
        </is>
      </c>
      <c r="B4" s="3" t="inlineStr">
        <is>
          <t>$ / gallon-mile</t>
        </is>
      </c>
      <c r="C4" s="3" t="inlineStr">
        <is>
          <t>Fixed / handling adder ($/gal)</t>
        </is>
      </c>
      <c r="D4" s="3" t="inlineStr">
        <is>
          <t>Derivation</t>
        </is>
      </c>
      <c r="E4" s="3" t="inlineStr">
        <is>
          <t>Source</t>
        </is>
      </c>
    </row>
    <row r="5">
      <c r="A5" s="4" t="inlineStr">
        <is>
          <t>Plane</t>
        </is>
      </c>
      <c r="B5" s="5" t="n">
        <v>0.0125</v>
      </c>
      <c r="C5" s="4" t="n"/>
      <c r="D5" s="4" t="inlineStr">
        <is>
          <t>$1.25/gal per 100 air-miles / 100 = $0.0125/gal-mi. Competitive floor (4,900-gal DC-6, Everts); higher for small planes.</t>
        </is>
      </c>
      <c r="E5" s="4" t="inlineStr">
        <is>
          <t>ISER 2010, p.13</t>
        </is>
      </c>
    </row>
    <row r="6">
      <c r="A6" s="4" t="inlineStr">
        <is>
          <t>Road / trucking</t>
        </is>
      </c>
      <c r="B6" s="5" t="n">
        <v>0.000528</v>
      </c>
      <c r="C6" s="4" t="n"/>
      <c r="D6" s="4" t="inlineStr">
        <is>
          <t>$4.75/vehicle-mile / 9,000-gal tanker. Magnitude confirmed by Nenana trucking &lt;$0.05/gal, ~distance-linear.</t>
        </is>
      </c>
      <c r="E6" s="4" t="inlineStr">
        <is>
          <t>Delivery Cost dossier; ISER 2010 p.17 (check)</t>
        </is>
      </c>
    </row>
    <row r="7">
      <c r="A7" s="4" t="inlineStr">
        <is>
          <t>Barge - linehaul (trunk: refinery to hub)</t>
        </is>
      </c>
      <c r="B7" s="4" t="n"/>
      <c r="C7" s="6" t="n">
        <v>0.19</v>
      </c>
      <c r="D7" s="4" t="inlineStr">
        <is>
          <t>($2.5M set + $3.5M fuel/misc) / 18M gal (6 trips) = $0.19/gal. Volume/trip-driven, not per-mile; flat trunk adder (range $0.19-0.22).</t>
        </is>
      </c>
      <c r="E7" s="4" t="inlineStr">
        <is>
          <t>ISER 2010, p.16-17, Table 4</t>
        </is>
      </c>
    </row>
    <row r="8">
      <c r="A8" s="4" t="inlineStr">
        <is>
          <t>Barge - lighterage (hub to community)</t>
        </is>
      </c>
      <c r="B8" s="5" t="n">
        <v>0.000362</v>
      </c>
      <c r="C8" s="6" t="n">
        <v>0.2</v>
      </c>
      <c r="D8" s="4" t="inlineStr">
        <is>
          <t>Table 2: $10k/day / 250k gal/trip; trip days = 5 fixed + 2*dist/221 mi-day. Reproduces $0.60/gal at ~1,100 mi (Bethel). Distance = one-way water miles. Ice-season length is NOT applied here - captured in the friction raster.</t>
        </is>
      </c>
      <c r="E8" s="4" t="inlineStr">
        <is>
          <t>ISER 2010, Tables 1-2 (calibrated)</t>
        </is>
      </c>
    </row>
    <row r="9">
      <c r="A9" s="4" t="inlineStr">
        <is>
          <t>Ice road</t>
        </is>
      </c>
      <c r="B9" s="5" t="n">
        <v>0.00667</v>
      </c>
      <c r="C9" s="4" t="n"/>
      <c r="D9" s="4" t="inlineStr">
        <is>
          <t>$20/vehicle-mile midpoint / 3,000-gal truck. Not in ISER report (excludes North Slope).</t>
        </is>
      </c>
      <c r="E9" s="4" t="inlineStr">
        <is>
          <t>Delivery Cost dossier</t>
        </is>
      </c>
    </row>
    <row r="11">
      <c r="A11" s="2" t="inlineStr">
        <is>
          <t>The fixed/handling adder is distance-independent ($/gal). Barge cannot be represented by a single per-mile rate because the $0.20 handling term dominates short hauls; plane and road have no fixed term.</t>
        </is>
      </c>
    </row>
  </sheetData>
  <mergeCells count="1">
    <mergeCell ref="A11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82" customWidth="1" min="2" max="2"/>
  </cols>
  <sheetData>
    <row r="1">
      <c r="A1" s="1" t="inlineStr">
        <is>
          <t>Table 3.  Derivation arithmetic</t>
        </is>
      </c>
    </row>
    <row r="2">
      <c r="A2" s="2" t="inlineStr">
        <is>
          <t>How each rate in Table 2 is built from source tariffs, capacities, and distances.</t>
        </is>
      </c>
    </row>
    <row r="4">
      <c r="A4" s="3" t="inlineStr">
        <is>
          <t>Modality</t>
        </is>
      </c>
      <c r="B4" s="3" t="inlineStr">
        <is>
          <t>Worked arithmetic</t>
        </is>
      </c>
    </row>
    <row r="5">
      <c r="A5" s="4" t="inlineStr">
        <is>
          <t>Plane</t>
        </is>
      </c>
      <c r="B5" s="4" t="inlineStr">
        <is>
          <t>1.25 $/gal/100mi / 100 = 0.0125 $/gal-mi</t>
        </is>
      </c>
    </row>
    <row r="6">
      <c r="A6" s="4" t="inlineStr">
        <is>
          <t>Road</t>
        </is>
      </c>
      <c r="B6" s="4" t="inlineStr">
        <is>
          <t>4.75 $/veh-mi / 9,000 gal = 0.000528 $/gal-mi</t>
        </is>
      </c>
    </row>
    <row r="7">
      <c r="A7" s="4" t="inlineStr">
        <is>
          <t>Linehaul barge</t>
        </is>
      </c>
      <c r="B7" s="4" t="inlineStr">
        <is>
          <t>($2.5M set + $3.5M fuel) / (3M gal x 6 trips) = $6M / 18M = $0.19/gal (flat)</t>
        </is>
      </c>
    </row>
    <row r="8">
      <c r="A8" s="4" t="inlineStr">
        <is>
          <t>Lighterage barge - fixed</t>
        </is>
      </c>
      <c r="B8" s="4" t="inlineStr">
        <is>
          <t>5 days x $10k / 250k gal = $0.20/gal</t>
        </is>
      </c>
    </row>
    <row r="9">
      <c r="A9" s="4" t="inlineStr">
        <is>
          <t>Lighterage barge - distance</t>
        </is>
      </c>
      <c r="B9" s="4" t="inlineStr">
        <is>
          <t>(2 x $10k) / (221 mi/day x 250k gal) = 0.000362 $/gal-mi</t>
        </is>
      </c>
    </row>
    <row r="10">
      <c r="A10" s="4" t="inlineStr">
        <is>
          <t>Ice road</t>
        </is>
      </c>
      <c r="B10" s="4" t="inlineStr">
        <is>
          <t>20 $/veh-mi / 3,000 gal = 0.00667 $/gal-mi</t>
        </is>
      </c>
    </row>
    <row r="12">
      <c r="A12" s="7" t="inlineStr">
        <is>
          <t>Calibration constants (day-to-distance substitution)</t>
        </is>
      </c>
    </row>
    <row r="13">
      <c r="A13" s="3" t="inlineStr">
        <is>
          <t>Constant</t>
        </is>
      </c>
      <c r="B13" s="3" t="inlineStr">
        <is>
          <t>Value</t>
        </is>
      </c>
    </row>
    <row r="14">
      <c r="A14" s="4" t="inlineStr">
        <is>
          <t>Barge speed</t>
        </is>
      </c>
      <c r="B14" s="4" t="inlineStr">
        <is>
          <t>221 mi/day (~8 kn x 24 h); 8 kn independently confirmed by Moffatt &amp; Nichol, POA Economic Assessment (2024), vessel-tracker data</t>
        </is>
      </c>
    </row>
    <row r="15">
      <c r="A15" s="4" t="inlineStr">
        <is>
          <t>Fixed handling days</t>
        </is>
      </c>
      <c r="B15" s="4" t="inlineStr">
        <is>
          <t>5 days (load / lighter / wait; distance-independent)</t>
        </is>
      </c>
    </row>
    <row r="16">
      <c r="A16" s="4" t="inlineStr">
        <is>
          <t>Gallons per lighterage trip</t>
        </is>
      </c>
      <c r="B16" s="4" t="inlineStr">
        <is>
          <t>250,000 (of 275,000 capacity)</t>
        </is>
      </c>
    </row>
    <row r="17">
      <c r="A17" s="4" t="inlineStr">
        <is>
          <t>Daily cost</t>
        </is>
      </c>
      <c r="B17" s="4" t="inlineStr">
        <is>
          <t>$10,000/day ($1.35M / 135 operating days)</t>
        </is>
      </c>
    </row>
    <row r="19">
      <c r="A19" s="2" t="inlineStr">
        <is>
          <t>Trip days are not an input to the model: they are replaced by distance / barge speed, so only distance, mode, and location are required.</t>
        </is>
      </c>
    </row>
  </sheetData>
  <mergeCells count="1">
    <mergeCell ref="A19: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60" customWidth="1" min="3" max="3"/>
    <col width="30" customWidth="1" min="4" max="4"/>
  </cols>
  <sheetData>
    <row r="1">
      <c r="A1" s="1" t="inlineStr">
        <is>
          <t>Table 4.  Provenance of derivation numbers</t>
        </is>
      </c>
    </row>
    <row r="2">
      <c r="A2" s="2" t="inlineStr">
        <is>
          <t>Every value used in the Table 3 arithmetic, what it represents, and its source. Master form of each rate: (cost of a delivery event) / (gallons carried x miles travelled).</t>
        </is>
      </c>
    </row>
    <row r="4">
      <c r="A4" s="3" t="inlineStr">
        <is>
          <t>Modality</t>
        </is>
      </c>
      <c r="B4" s="3" t="inlineStr">
        <is>
          <t>Number / term</t>
        </is>
      </c>
      <c r="C4" s="3" t="inlineStr">
        <is>
          <t>What it is</t>
        </is>
      </c>
      <c r="D4" s="3" t="inlineStr">
        <is>
          <t>Source</t>
        </is>
      </c>
    </row>
    <row r="5">
      <c r="A5" s="8" t="inlineStr">
        <is>
          <t>Plane</t>
        </is>
      </c>
      <c r="B5" s="4" t="inlineStr">
        <is>
          <t>$1.25/gal per 100 mi</t>
        </is>
      </c>
      <c r="C5" s="4" t="inlineStr">
        <is>
          <t>Air transport component ISER quotes for the most-competitive (large-bulk) deliveries</t>
        </is>
      </c>
      <c r="D5" s="4" t="inlineStr">
        <is>
          <t>ISER 2010, p.13</t>
        </is>
      </c>
    </row>
    <row r="6">
      <c r="A6" s="4" t="inlineStr"/>
      <c r="B6" s="4" t="inlineStr">
        <is>
          <t>/ 100</t>
        </is>
      </c>
      <c r="C6" s="4" t="inlineStr">
        <is>
          <t>Converts per-100-miles to per-mile</t>
        </is>
      </c>
      <c r="D6" s="4" t="inlineStr">
        <is>
          <t>arithmetic</t>
        </is>
      </c>
    </row>
    <row r="7">
      <c r="A7" s="4" t="inlineStr"/>
      <c r="B7" s="4">
        <f> 0.0125</f>
        <v/>
      </c>
      <c r="C7" s="4" t="inlineStr">
        <is>
          <t>Result: $/gallon-mile</t>
        </is>
      </c>
      <c r="D7" s="4" t="inlineStr"/>
    </row>
    <row r="8">
      <c r="A8" s="8" t="inlineStr">
        <is>
          <t>Road / trucking</t>
        </is>
      </c>
      <c r="B8" s="4" t="inlineStr">
        <is>
          <t>$4.75/vehicle-mile</t>
        </is>
      </c>
      <c r="C8" s="4" t="inlineStr">
        <is>
          <t>Alaska carrier line-haul rate to move one truck one mile (range $2.37-$6.00)</t>
        </is>
      </c>
      <c r="D8" s="4" t="inlineStr">
        <is>
          <t>Delivery Cost dossier</t>
        </is>
      </c>
    </row>
    <row r="9">
      <c r="A9" s="4" t="inlineStr"/>
      <c r="B9" s="4" t="inlineStr">
        <is>
          <t>9,000 gal</t>
        </is>
      </c>
      <c r="C9" s="4" t="inlineStr">
        <is>
          <t>Highway fuel-tanker capacity</t>
        </is>
      </c>
      <c r="D9" s="4" t="inlineStr">
        <is>
          <t>Delivery Cost dossier</t>
        </is>
      </c>
    </row>
    <row r="10">
      <c r="A10" s="4" t="inlineStr"/>
      <c r="B10" s="4" t="inlineStr">
        <is>
          <t>4.75 / 9,000 = 0.000528</t>
        </is>
      </c>
      <c r="C10" s="4" t="inlineStr">
        <is>
          <t>Result: $/gallon-mile (spreads per-truck cost over gallons carried)</t>
        </is>
      </c>
      <c r="D10" s="4" t="inlineStr"/>
    </row>
    <row r="11">
      <c r="A11" s="8" t="inlineStr">
        <is>
          <t>Barge - linehaul</t>
        </is>
      </c>
      <c r="B11" s="4" t="inlineStr">
        <is>
          <t>$2.5M set</t>
        </is>
      </c>
      <c r="C11" s="4" t="inlineStr">
        <is>
          <t>Fixed cost of one tug-and-barge set for the ice-free season</t>
        </is>
      </c>
      <c r="D11" s="4" t="inlineStr">
        <is>
          <t>ISER 2010, p.16</t>
        </is>
      </c>
    </row>
    <row r="12">
      <c r="A12" s="4" t="inlineStr"/>
      <c r="B12" s="4" t="inlineStr">
        <is>
          <t>$3.5M fuel/misc</t>
        </is>
      </c>
      <c r="C12" s="4" t="inlineStr">
        <is>
          <t>Tug fuel + miscellaneous for a 6-7 trip season</t>
        </is>
      </c>
      <c r="D12" s="4" t="inlineStr">
        <is>
          <t>ISER 2010, p.16</t>
        </is>
      </c>
    </row>
    <row r="13">
      <c r="A13" s="4" t="inlineStr"/>
      <c r="B13" s="4" t="inlineStr">
        <is>
          <t>3M gal x 6 trips = 18M gal</t>
        </is>
      </c>
      <c r="C13" s="4" t="inlineStr">
        <is>
          <t>A linehaul barge carries ~3M gal; six trips per season</t>
        </is>
      </c>
      <c r="D13" s="4" t="inlineStr">
        <is>
          <t>ISER 2010, p.16</t>
        </is>
      </c>
    </row>
    <row r="14">
      <c r="A14" s="4" t="inlineStr"/>
      <c r="B14" s="4" t="inlineStr">
        <is>
          <t>$6M / 18M = $0.19/gal</t>
        </is>
      </c>
      <c r="C14" s="4" t="inlineStr">
        <is>
          <t>Result: flat $/gal (no miles - driven by seasonal volume, not distance)</t>
        </is>
      </c>
      <c r="D14" s="4" t="inlineStr"/>
    </row>
    <row r="15">
      <c r="A15" s="8" t="inlineStr">
        <is>
          <t>Barge - lighterage (fixed)</t>
        </is>
      </c>
      <c r="B15" s="4" t="inlineStr">
        <is>
          <t>$10k/day</t>
        </is>
      </c>
      <c r="C15" s="4" t="inlineStr">
        <is>
          <t>Daily set cost = $1.35M/yr / 135 operating days ($1.35M = $600k capital + $750k operating)</t>
        </is>
      </c>
      <c r="D15" s="4" t="inlineStr">
        <is>
          <t>ISER 2010, Tables 1-2</t>
        </is>
      </c>
    </row>
    <row r="16">
      <c r="A16" s="4" t="inlineStr"/>
      <c r="B16" s="4" t="inlineStr">
        <is>
          <t>5 days</t>
        </is>
      </c>
      <c r="C16" s="4" t="inlineStr">
        <is>
          <t>Fixed handling per trip (load / lighter / wait); distance-independent</t>
        </is>
      </c>
      <c r="D16" s="4" t="inlineStr">
        <is>
          <t>modeling assumption (calibrated)</t>
        </is>
      </c>
    </row>
    <row r="17">
      <c r="A17" s="4" t="inlineStr"/>
      <c r="B17" s="4" t="inlineStr">
        <is>
          <t>250k gal</t>
        </is>
      </c>
      <c r="C17" s="4" t="inlineStr">
        <is>
          <t>Gallons delivered per lighterage trip (of 275k capacity)</t>
        </is>
      </c>
      <c r="D17" s="4" t="inlineStr">
        <is>
          <t>ISER 2010</t>
        </is>
      </c>
    </row>
    <row r="18">
      <c r="A18" s="4" t="inlineStr"/>
      <c r="B18" s="4" t="inlineStr">
        <is>
          <t>5 x $10k / 250k = $0.20/gal</t>
        </is>
      </c>
      <c r="C18" s="4" t="inlineStr">
        <is>
          <t>Result: fixed handling adder</t>
        </is>
      </c>
      <c r="D18" s="4" t="inlineStr"/>
    </row>
    <row r="19">
      <c r="A19" s="8" t="inlineStr">
        <is>
          <t>Barge - lighterage (distance)</t>
        </is>
      </c>
      <c r="B19" s="4" t="inlineStr">
        <is>
          <t>2</t>
        </is>
      </c>
      <c r="C19" s="4" t="inlineStr">
        <is>
          <t>Round trip - barge travels out and back per one-way community mile</t>
        </is>
      </c>
      <c r="D19" s="4" t="inlineStr">
        <is>
          <t>geometry</t>
        </is>
      </c>
    </row>
    <row r="20">
      <c r="A20" s="4" t="inlineStr"/>
      <c r="B20" s="4" t="inlineStr">
        <is>
          <t>221 mi/day</t>
        </is>
      </c>
      <c r="C20" s="4" t="inlineStr">
        <is>
          <t>Barge speed ~8 kn x 24 h</t>
        </is>
      </c>
      <c r="D20" s="4" t="inlineStr">
        <is>
          <t>ISER; 8 kn confirmed by M&amp;N POA 2024</t>
        </is>
      </c>
    </row>
    <row r="21">
      <c r="A21" s="4" t="inlineStr"/>
      <c r="B21" s="4" t="inlineStr">
        <is>
          <t>250k gal</t>
        </is>
      </c>
      <c r="C21" s="4" t="inlineStr">
        <is>
          <t>Gallons delivered per trip</t>
        </is>
      </c>
      <c r="D21" s="4" t="inlineStr">
        <is>
          <t>ISER 2010</t>
        </is>
      </c>
    </row>
    <row r="22">
      <c r="A22" s="4" t="inlineStr"/>
      <c r="B22" s="4" t="inlineStr">
        <is>
          <t>(2 x 10,000) / (221 x 250,000) = 0.000362</t>
        </is>
      </c>
      <c r="C22" s="4" t="inlineStr">
        <is>
          <t>Result: $/gallon-mile (one-way water miles)</t>
        </is>
      </c>
      <c r="D22" s="4" t="inlineStr"/>
    </row>
    <row r="23">
      <c r="A23" s="8" t="inlineStr">
        <is>
          <t>Ice road</t>
        </is>
      </c>
      <c r="B23" s="4" t="inlineStr">
        <is>
          <t>$20/vehicle-mile</t>
        </is>
      </c>
      <c r="C23" s="4" t="inlineStr">
        <is>
          <t>Midpoint of the $10-$30/veh-mi range; driver-wage premium dominates</t>
        </is>
      </c>
      <c r="D23" s="4" t="inlineStr">
        <is>
          <t>Delivery Cost dossier</t>
        </is>
      </c>
    </row>
    <row r="24">
      <c r="A24" s="4" t="inlineStr"/>
      <c r="B24" s="4" t="inlineStr">
        <is>
          <t>3,000 gal</t>
        </is>
      </c>
      <c r="C24" s="4" t="inlineStr">
        <is>
          <t>Ice-road-rated truck capacity (small, due to ice weight limits)</t>
        </is>
      </c>
      <c r="D24" s="4" t="inlineStr">
        <is>
          <t>Delivery Cost dossier</t>
        </is>
      </c>
    </row>
    <row r="25">
      <c r="A25" s="4" t="inlineStr"/>
      <c r="B25" s="4" t="inlineStr">
        <is>
          <t>20 / 3,000 = 0.00667</t>
        </is>
      </c>
      <c r="C25" s="4" t="inlineStr">
        <is>
          <t>Result: $/gallon-mile</t>
        </is>
      </c>
      <c r="D25" s="4" t="inlineStr"/>
    </row>
    <row r="27">
      <c r="A27" s="2" t="inlineStr">
        <is>
          <t>Calibration check: $0.20 + 0.000362 x 1,100 mi = $0.60/gal reproduces ISER's Table 2 Bethel-class example, which pins the 5 fixed handling days.</t>
        </is>
      </c>
    </row>
    <row r="28">
      <c r="A28" s="2" t="inlineStr">
        <is>
          <t>The 5 fixed handling days is the only value not lifted from a source; it is calibrated backward from ISER's $0.60/gal figure. All other numbers are published tariffs, capacities, or physical constants.</t>
        </is>
      </c>
    </row>
  </sheetData>
  <mergeCells count="2">
    <mergeCell ref="A27:D27"/>
    <mergeCell ref="A28:D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52" customWidth="1" min="3" max="3"/>
  </cols>
  <sheetData>
    <row r="1">
      <c r="A1" s="1" t="inlineStr">
        <is>
          <t>Table 5.  Barge cost build (two-leg) and validation</t>
        </is>
      </c>
    </row>
    <row r="2">
      <c r="A2" s="2" t="inlineStr">
        <is>
          <t>Total barge cost to a community = flat linehaul + lighterage (fixed handling + distance). Example shown for a Bethel-class ~1,100 one-way water-mile run.</t>
        </is>
      </c>
    </row>
    <row r="4">
      <c r="A4" s="3" t="inlineStr">
        <is>
          <t>Component</t>
        </is>
      </c>
      <c r="B4" s="3" t="inlineStr">
        <is>
          <t>$/gal</t>
        </is>
      </c>
      <c r="C4" s="3" t="inlineStr">
        <is>
          <t>Note</t>
        </is>
      </c>
    </row>
    <row r="5">
      <c r="A5" s="4" t="inlineStr">
        <is>
          <t>Linehaul (flat)</t>
        </is>
      </c>
      <c r="B5" s="6" t="n">
        <v>0.19</v>
      </c>
      <c r="C5" s="4" t="inlineStr">
        <is>
          <t>trunk: refinery to regional hub</t>
        </is>
      </c>
    </row>
    <row r="6">
      <c r="A6" s="4" t="inlineStr">
        <is>
          <t>Terminal use</t>
        </is>
      </c>
      <c r="B6" s="6" t="n">
        <v>0.03</v>
      </c>
      <c r="C6" s="4" t="inlineStr">
        <is>
          <t>if routed through a hub (ISER Table 4)</t>
        </is>
      </c>
    </row>
    <row r="7">
      <c r="A7" s="4" t="inlineStr">
        <is>
          <t>Lighterage fixed handling</t>
        </is>
      </c>
      <c r="B7" s="6" t="n">
        <v>0.2</v>
      </c>
      <c r="C7" s="4" t="inlineStr">
        <is>
          <t>load / lighter / wait</t>
        </is>
      </c>
    </row>
    <row r="8">
      <c r="A8" s="4" t="inlineStr">
        <is>
          <t>Lighterage distance</t>
        </is>
      </c>
      <c r="B8" s="6" t="n">
        <v>0.4</v>
      </c>
      <c r="C8" s="4" t="inlineStr">
        <is>
          <t>0.000362 $/gal-mi x 1,100 one-way water miles</t>
        </is>
      </c>
    </row>
    <row r="9">
      <c r="A9" s="8" t="inlineStr">
        <is>
          <t>Total (Bethel-class ~1,100 mi)</t>
        </is>
      </c>
      <c r="B9" s="9" t="n">
        <v>0.82</v>
      </c>
      <c r="C9" s="4" t="inlineStr">
        <is>
          <t>consistent with ISER $0.40-0.80 lighterage + trunk</t>
        </is>
      </c>
    </row>
    <row r="11">
      <c r="A11" s="7" t="inlineStr">
        <is>
          <t>Validation against ISER published figures</t>
        </is>
      </c>
    </row>
    <row r="12">
      <c r="A12" s="3" t="inlineStr">
        <is>
          <t>Route (one-way water mi)</t>
        </is>
      </c>
      <c r="B12" s="3" t="inlineStr">
        <is>
          <t>Derived $/gal</t>
        </is>
      </c>
      <c r="C12" s="3" t="inlineStr">
        <is>
          <t>ISER check</t>
        </is>
      </c>
    </row>
    <row r="13">
      <c r="A13" s="4" t="inlineStr">
        <is>
          <t>Valdez-Anchorage ~300</t>
        </is>
      </c>
      <c r="B13" s="6" t="n">
        <v>0.31</v>
      </c>
      <c r="C13" s="4" t="inlineStr">
        <is>
          <t>within range</t>
        </is>
      </c>
    </row>
    <row r="14">
      <c r="A14" s="4" t="inlineStr">
        <is>
          <t>Bethel-class ~1,100</t>
        </is>
      </c>
      <c r="B14" s="6" t="n">
        <v>0.6</v>
      </c>
      <c r="C14" s="4">
        <f> Table 2</f>
        <v/>
      </c>
    </row>
    <row r="15">
      <c r="A15" s="4" t="inlineStr">
        <is>
          <t>Kotzebue/remote ~1,500</t>
        </is>
      </c>
      <c r="B15" s="6" t="n">
        <v>0.74</v>
      </c>
      <c r="C15" s="4" t="inlineStr">
        <is>
          <t>within $0.40-0.80</t>
        </is>
      </c>
    </row>
    <row r="17">
      <c r="A17" s="2" t="inlineStr">
        <is>
          <t>Lighterage $/gal = 0.20 (fixed) + 0.000362 x one-way water miles. The Table 4 example adds the flat linehaul and terminal-use legs on top.</t>
        </is>
      </c>
    </row>
  </sheetData>
  <mergeCells count="1">
    <mergeCell ref="A17:C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Table 6.  Sources</t>
        </is>
      </c>
    </row>
    <row r="4">
      <c r="A4" s="3" t="inlineStr">
        <is>
          <t>Tag</t>
        </is>
      </c>
      <c r="B4" s="3" t="inlineStr">
        <is>
          <t>Full citation</t>
        </is>
      </c>
    </row>
    <row r="5">
      <c r="A5" s="4" t="inlineStr">
        <is>
          <t>ISER 2010</t>
        </is>
      </c>
      <c r="B5" s="4" t="inlineStr">
        <is>
          <t>Szymoniak, N., Fay, G., Villalobos-Melendez, A., Charon, J., Smith, M. (2010). Components of Alaska Fuel Costs: An Analysis of the Market Factors and Characteristics that Influence Rural Fuel Prices. UAA ISER, for the Alaska State Legislature, Senate Finance Committee.</t>
        </is>
      </c>
    </row>
    <row r="6">
      <c r="A6" s="4" t="inlineStr">
        <is>
          <t>Delivery Cost dossier</t>
        </is>
      </c>
      <c r="B6" s="4" t="inlineStr">
        <is>
          <t>Alaska Fuel Delivery Cost Analysis (Alaska Fuel Delivery Cost Analysis.pdf); rates encoded in friction_surface/friction_costs.py.</t>
        </is>
      </c>
    </row>
    <row r="7">
      <c r="A7" s="4" t="inlineStr">
        <is>
          <t>M&amp;N POA 2024</t>
        </is>
      </c>
      <c r="B7" s="4" t="inlineStr">
        <is>
          <t>Moffatt &amp; Nichol (2024). Economic Assessment for Port of Alaska Terminals. Prepared for Don Young Port of Alaska. Used only to independently confirm the ~8-knot barge speed; container/TEU cost figures and externality/RIMS costs are out of scope for this per-gallon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2026-07-01T22:06:44Z</dcterms:created>
  <dcterms:modified xmlns:dcterms="http://purl.org/dc/terms/" xmlns:xsi="http://www.w3.org/2001/XMLSchema-instance" xsi:type="dcterms:W3CDTF">2026-07-01T22:06:44Z</dcterms:modified>
</cp:coreProperties>
</file>