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1 Coordinate typos" sheetId="3" state="visible" r:id="rId3"/>
    <sheet name="2 Possible typos" sheetId="4" state="visible" r:id="rId4"/>
    <sheet name="3 Swapped coords" sheetId="5" state="visible" r:id="rId5"/>
    <sheet name="4 Wrong label" sheetId="6" state="visible" r:id="rId6"/>
    <sheet name="5 Copied coords" sheetId="7" state="visible" r:id="rId7"/>
    <sheet name="6 Shared-point stacks" sheetId="8" state="visible" r:id="rId8"/>
    <sheet name="7 Spelling variants" sheetId="9" state="visible" r:id="rId9"/>
  </sheets>
  <definedNames>
    <definedName name="_xlnm._FilterDatabase" localSheetId="2" hidden="1">'1 Coordinate typos'!$A$1:$X$5</definedName>
    <definedName name="_xlnm._FilterDatabase" localSheetId="3" hidden="1">'2 Possible typos'!$A$1:$X$5</definedName>
    <definedName name="_xlnm._FilterDatabase" localSheetId="4" hidden="1">'3 Swapped coords'!$A$1:$X$3</definedName>
    <definedName name="_xlnm._FilterDatabase" localSheetId="5" hidden="1">'4 Wrong label'!$A$1:$X$10</definedName>
    <definedName name="_xlnm._FilterDatabase" localSheetId="6" hidden="1">'5 Copied coords'!$A$1:$X$5</definedName>
    <definedName name="_xlnm._FilterDatabase" localSheetId="7" hidden="1">'6 Shared-point stacks'!$A$1:$X$52</definedName>
    <definedName name="_xlnm._FilterDatabase" localSheetId="8" hidden="1">'7 Spelling variants'!$A$1:$X$31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Bulk-fuel inventory corrections — manual review</t>
        </is>
      </c>
    </row>
    <row r="2">
      <c r="A2" s="2" t="inlineStr"/>
    </row>
    <row r="3">
      <c r="A3" s="2" t="inlineStr">
        <is>
          <t>What this is: 104 candidate corrections to the AEA Utilities_Bulk_Fuel_Inventory.csv (2022 file, SHA-256 132338fe…). Nothing is applied until you approve it.</t>
        </is>
      </c>
    </row>
    <row r="4">
      <c r="A4" s="2" t="inlineStr">
        <is>
          <t>Tabs 1–7 hold one correction type each. Tab 'Summary' counts your decisions (formulas update as you fill in).</t>
        </is>
      </c>
    </row>
    <row r="5">
      <c r="A5" s="2" t="inlineStr"/>
    </row>
    <row r="6">
      <c r="A6" s="1" t="inlineStr">
        <is>
          <t>Cells to edit — yellow columns only:</t>
        </is>
      </c>
    </row>
    <row r="7">
      <c r="A7" s="2" t="inlineStr">
        <is>
          <t xml:space="preserve">  decision       choose from the dropdown: approve | approve with my value | reject | ask AEA | skip for now</t>
        </is>
      </c>
    </row>
    <row r="8">
      <c r="A8" s="2" t="inlineStr">
        <is>
          <t xml:space="preserve">  your_value     only if 'approve with my value': the value you want instead (lat,lon or a community name)</t>
        </is>
      </c>
    </row>
    <row r="9">
      <c r="A9" s="2" t="inlineStr">
        <is>
          <t xml:space="preserve">  notes          what you checked (e.g. 'Google satellite: tank farm visible at proposed point')</t>
        </is>
      </c>
    </row>
    <row r="10">
      <c r="A10" s="2" t="inlineStr">
        <is>
          <t xml:space="preserve">  reviewed_by / reviewed_on   your initials and date</t>
        </is>
      </c>
    </row>
    <row r="11">
      <c r="A11" s="2" t="inlineStr"/>
    </row>
    <row r="12">
      <c r="A12" s="2" t="inlineStr">
        <is>
          <t>Example of a filled-in row (format only, not real): decision = approve with my value · your_value = 60.79210,-161.75890 · notes = 'tank farm on satellite 300 m from proposal' · reviewed_by = JC · reviewed_on = 2026-10-06</t>
        </is>
      </c>
    </row>
    <row r="13">
      <c r="A13" s="2" t="inlineStr"/>
    </row>
    <row r="14">
      <c r="A14" s="1" t="inlineStr">
        <is>
          <t>How to check a row:</t>
        </is>
      </c>
    </row>
    <row r="15">
      <c r="A15" s="2" t="inlineStr">
        <is>
          <t xml:space="preserve">  1. Click 'map: stored' and 'map: proposed' (open Google Maps at each point; nothing is sent until you click).</t>
        </is>
      </c>
    </row>
    <row r="16">
      <c r="A16" s="2" t="inlineStr">
        <is>
          <t xml:space="preserve">  2. Look for the tank farm / community at the proposed point; compare with the label.</t>
        </is>
      </c>
    </row>
    <row r="17">
      <c r="A17" s="2" t="inlineStr">
        <is>
          <t xml:space="preserve">  3. 'aea_2025_status' says what AEA's December 2025 download did with this record: unchanged, map point corrected (use aea_2025_map_lat/lon), or removed.</t>
        </is>
      </c>
    </row>
    <row r="18">
      <c r="A18" s="2" t="inlineStr"/>
    </row>
    <row r="19">
      <c r="A19" s="2" t="inlineStr">
        <is>
          <t>current_lat / current_lon = the position exactly as stored in the inventory today (even when wrong) · proposed_lat / proposed_lon = the position after the fix (blank for label-only changes).</t>
        </is>
      </c>
    </row>
    <row r="20">
      <c r="A20" s="2" t="inlineStr">
        <is>
          <t>Column notes: facility_pid / facility_id = harness DuckDB keys · csv_row = line in the 2022 CSV (header = line 1) · GlobalID = AEA's stable record id (use this if we move to the 2025 file).</t>
        </is>
      </c>
    </row>
    <row r="21">
      <c r="A21" s="2" t="inlineStr">
        <is>
          <t>Confidence is the investigator's estimate; proposed positions for copied/stacked rows are the typical location of that community's other sites (community-level, not tank-level).</t>
        </is>
      </c>
    </row>
    <row r="22">
      <c r="A22" s="2" t="inlineStr">
        <is>
          <t>Privacy: built from id, location, community, delivery-method and capacity columns only — no contact fields.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Group</t>
        </is>
      </c>
      <c r="B1" s="3" t="inlineStr">
        <is>
          <t>Rows</t>
        </is>
      </c>
      <c r="C1" s="3" t="inlineStr">
        <is>
          <t>approve</t>
        </is>
      </c>
      <c r="D1" s="3" t="inlineStr">
        <is>
          <t>approve with my value</t>
        </is>
      </c>
      <c r="E1" s="3" t="inlineStr">
        <is>
          <t>reject</t>
        </is>
      </c>
      <c r="F1" s="3" t="inlineStr">
        <is>
          <t>ask AEA</t>
        </is>
      </c>
      <c r="G1" s="3" t="inlineStr">
        <is>
          <t>skip for now</t>
        </is>
      </c>
      <c r="H1" s="3" t="inlineStr">
        <is>
          <t>Not yet decided</t>
        </is>
      </c>
    </row>
    <row r="2">
      <c r="A2" s="2" t="inlineStr">
        <is>
          <t>1 Coordinate typos</t>
        </is>
      </c>
      <c r="B2" s="2">
        <f>COUNTA('1 Coordinate typos'!A2:A5)</f>
        <v/>
      </c>
      <c r="C2" s="2">
        <f>COUNTIF('1 Coordinate typos'!T2:T5,"approve")</f>
        <v/>
      </c>
      <c r="D2" s="2">
        <f>COUNTIF('1 Coordinate typos'!T2:T5,"approve with my value")</f>
        <v/>
      </c>
      <c r="E2" s="2">
        <f>COUNTIF('1 Coordinate typos'!T2:T5,"reject")</f>
        <v/>
      </c>
      <c r="F2" s="2">
        <f>COUNTIF('1 Coordinate typos'!T2:T5,"ask AEA")</f>
        <v/>
      </c>
      <c r="G2" s="2">
        <f>COUNTIF('1 Coordinate typos'!T2:T5,"skip for now")</f>
        <v/>
      </c>
      <c r="H2" s="2">
        <f>B2-SUM(C2:G2)</f>
        <v/>
      </c>
    </row>
    <row r="3">
      <c r="A3" s="2" t="inlineStr">
        <is>
          <t>2 Possible typos</t>
        </is>
      </c>
      <c r="B3" s="2">
        <f>COUNTA('2 Possible typos'!A2:A5)</f>
        <v/>
      </c>
      <c r="C3" s="2">
        <f>COUNTIF('2 Possible typos'!T2:T5,"approve")</f>
        <v/>
      </c>
      <c r="D3" s="2">
        <f>COUNTIF('2 Possible typos'!T2:T5,"approve with my value")</f>
        <v/>
      </c>
      <c r="E3" s="2">
        <f>COUNTIF('2 Possible typos'!T2:T5,"reject")</f>
        <v/>
      </c>
      <c r="F3" s="2">
        <f>COUNTIF('2 Possible typos'!T2:T5,"ask AEA")</f>
        <v/>
      </c>
      <c r="G3" s="2">
        <f>COUNTIF('2 Possible typos'!T2:T5,"skip for now")</f>
        <v/>
      </c>
      <c r="H3" s="2">
        <f>B3-SUM(C3:G3)</f>
        <v/>
      </c>
    </row>
    <row r="4">
      <c r="A4" s="2" t="inlineStr">
        <is>
          <t>3 Swapped coords</t>
        </is>
      </c>
      <c r="B4" s="2">
        <f>COUNTA('3 Swapped coords'!A2:A3)</f>
        <v/>
      </c>
      <c r="C4" s="2">
        <f>COUNTIF('3 Swapped coords'!T2:T3,"approve")</f>
        <v/>
      </c>
      <c r="D4" s="2">
        <f>COUNTIF('3 Swapped coords'!T2:T3,"approve with my value")</f>
        <v/>
      </c>
      <c r="E4" s="2">
        <f>COUNTIF('3 Swapped coords'!T2:T3,"reject")</f>
        <v/>
      </c>
      <c r="F4" s="2">
        <f>COUNTIF('3 Swapped coords'!T2:T3,"ask AEA")</f>
        <v/>
      </c>
      <c r="G4" s="2">
        <f>COUNTIF('3 Swapped coords'!T2:T3,"skip for now")</f>
        <v/>
      </c>
      <c r="H4" s="2">
        <f>B4-SUM(C4:G4)</f>
        <v/>
      </c>
    </row>
    <row r="5">
      <c r="A5" s="2" t="inlineStr">
        <is>
          <t>4 Wrong label</t>
        </is>
      </c>
      <c r="B5" s="2">
        <f>COUNTA('4 Wrong label'!A2:A10)</f>
        <v/>
      </c>
      <c r="C5" s="2">
        <f>COUNTIF('4 Wrong label'!T2:T10,"approve")</f>
        <v/>
      </c>
      <c r="D5" s="2">
        <f>COUNTIF('4 Wrong label'!T2:T10,"approve with my value")</f>
        <v/>
      </c>
      <c r="E5" s="2">
        <f>COUNTIF('4 Wrong label'!T2:T10,"reject")</f>
        <v/>
      </c>
      <c r="F5" s="2">
        <f>COUNTIF('4 Wrong label'!T2:T10,"ask AEA")</f>
        <v/>
      </c>
      <c r="G5" s="2">
        <f>COUNTIF('4 Wrong label'!T2:T10,"skip for now")</f>
        <v/>
      </c>
      <c r="H5" s="2">
        <f>B5-SUM(C5:G5)</f>
        <v/>
      </c>
    </row>
    <row r="6">
      <c r="A6" s="2" t="inlineStr">
        <is>
          <t>5 Copied coords</t>
        </is>
      </c>
      <c r="B6" s="2">
        <f>COUNTA('5 Copied coords'!A2:A5)</f>
        <v/>
      </c>
      <c r="C6" s="2">
        <f>COUNTIF('5 Copied coords'!T2:T5,"approve")</f>
        <v/>
      </c>
      <c r="D6" s="2">
        <f>COUNTIF('5 Copied coords'!T2:T5,"approve with my value")</f>
        <v/>
      </c>
      <c r="E6" s="2">
        <f>COUNTIF('5 Copied coords'!T2:T5,"reject")</f>
        <v/>
      </c>
      <c r="F6" s="2">
        <f>COUNTIF('5 Copied coords'!T2:T5,"ask AEA")</f>
        <v/>
      </c>
      <c r="G6" s="2">
        <f>COUNTIF('5 Copied coords'!T2:T5,"skip for now")</f>
        <v/>
      </c>
      <c r="H6" s="2">
        <f>B6-SUM(C6:G6)</f>
        <v/>
      </c>
    </row>
    <row r="7">
      <c r="A7" s="2" t="inlineStr">
        <is>
          <t>6 Shared-point stacks</t>
        </is>
      </c>
      <c r="B7" s="2">
        <f>COUNTA('6 Shared-point stacks'!A2:A52)</f>
        <v/>
      </c>
      <c r="C7" s="2">
        <f>COUNTIF('6 Shared-point stacks'!T2:T52,"approve")</f>
        <v/>
      </c>
      <c r="D7" s="2">
        <f>COUNTIF('6 Shared-point stacks'!T2:T52,"approve with my value")</f>
        <v/>
      </c>
      <c r="E7" s="2">
        <f>COUNTIF('6 Shared-point stacks'!T2:T52,"reject")</f>
        <v/>
      </c>
      <c r="F7" s="2">
        <f>COUNTIF('6 Shared-point stacks'!T2:T52,"ask AEA")</f>
        <v/>
      </c>
      <c r="G7" s="2">
        <f>COUNTIF('6 Shared-point stacks'!T2:T52,"skip for now")</f>
        <v/>
      </c>
      <c r="H7" s="2">
        <f>B7-SUM(C7:G7)</f>
        <v/>
      </c>
    </row>
    <row r="8">
      <c r="A8" s="2" t="inlineStr">
        <is>
          <t>7 Spelling variants</t>
        </is>
      </c>
      <c r="B8" s="2">
        <f>COUNTA('7 Spelling variants'!A2:A31)</f>
        <v/>
      </c>
      <c r="C8" s="2">
        <f>COUNTIF('7 Spelling variants'!T2:T31,"approve")</f>
        <v/>
      </c>
      <c r="D8" s="2">
        <f>COUNTIF('7 Spelling variants'!T2:T31,"approve with my value")</f>
        <v/>
      </c>
      <c r="E8" s="2">
        <f>COUNTIF('7 Spelling variants'!T2:T31,"reject")</f>
        <v/>
      </c>
      <c r="F8" s="2">
        <f>COUNTIF('7 Spelling variants'!T2:T31,"ask AEA")</f>
        <v/>
      </c>
      <c r="G8" s="2">
        <f>COUNTIF('7 Spelling variants'!T2:T31,"skip for now")</f>
        <v/>
      </c>
      <c r="H8" s="2">
        <f>B8-SUM(C8:G8)</f>
        <v/>
      </c>
    </row>
    <row r="9">
      <c r="A9" s="1" t="inlineStr">
        <is>
          <t>Total</t>
        </is>
      </c>
      <c r="B9" s="1">
        <f>SUM(B2:B8)</f>
        <v/>
      </c>
      <c r="C9" s="1">
        <f>SUM(C2:C8)</f>
        <v/>
      </c>
      <c r="D9" s="1">
        <f>SUM(D2:D8)</f>
        <v/>
      </c>
      <c r="E9" s="1">
        <f>SUM(E2:E8)</f>
        <v/>
      </c>
      <c r="F9" s="1">
        <f>SUM(F2:F8)</f>
        <v/>
      </c>
      <c r="G9" s="1">
        <f>SUM(G2:G8)</f>
        <v/>
      </c>
      <c r="H9" s="1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14" customWidth="1" min="13" max="13"/>
    <col width="70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0" customWidth="1" min="22" max="22"/>
    <col width="14" customWidth="1" min="23" max="23"/>
    <col width="14" customWidth="1" min="24" max="24"/>
  </cols>
  <sheetData>
    <row r="1">
      <c r="A1" s="4" t="inlineStr">
        <is>
          <t>facility_pid</t>
        </is>
      </c>
      <c r="B1" s="4" t="inlineStr">
        <is>
          <t>facility_id</t>
        </is>
      </c>
      <c r="C1" s="4" t="inlineStr">
        <is>
          <t>csv_row</t>
        </is>
      </c>
      <c r="D1" s="4" t="inlineStr">
        <is>
          <t>GlobalID</t>
        </is>
      </c>
      <c r="E1" s="4" t="inlineStr">
        <is>
          <t>label</t>
        </is>
      </c>
      <c r="F1" s="4" t="inlineStr">
        <is>
          <t>field</t>
        </is>
      </c>
      <c r="G1" s="4" t="inlineStr">
        <is>
          <t>current_lat</t>
        </is>
      </c>
      <c r="H1" s="4" t="inlineStr">
        <is>
          <t>current_lon</t>
        </is>
      </c>
      <c r="I1" s="4" t="inlineStr">
        <is>
          <t>proposed_lat</t>
        </is>
      </c>
      <c r="J1" s="4" t="inlineStr">
        <is>
          <t>proposed_lon</t>
        </is>
      </c>
      <c r="K1" s="4" t="inlineStr">
        <is>
          <t>current_value</t>
        </is>
      </c>
      <c r="L1" s="4" t="inlineStr">
        <is>
          <t>proposed_value</t>
        </is>
      </c>
      <c r="M1" s="4" t="inlineStr">
        <is>
          <t>confidence</t>
        </is>
      </c>
      <c r="N1" s="4" t="inlineStr">
        <is>
          <t>evidence</t>
        </is>
      </c>
      <c r="O1" s="4" t="inlineStr">
        <is>
          <t>aea_2025_status</t>
        </is>
      </c>
      <c r="P1" s="4" t="inlineStr">
        <is>
          <t>aea_2025_map_lat</t>
        </is>
      </c>
      <c r="Q1" s="4" t="inlineStr">
        <is>
          <t>aea_2025_map_lon</t>
        </is>
      </c>
      <c r="R1" s="4" t="inlineStr">
        <is>
          <t>map: stored</t>
        </is>
      </c>
      <c r="S1" s="4" t="inlineStr">
        <is>
          <t>map: proposed</t>
        </is>
      </c>
      <c r="T1" s="4" t="inlineStr">
        <is>
          <t>decision</t>
        </is>
      </c>
      <c r="U1" s="4" t="inlineStr">
        <is>
          <t>your_value</t>
        </is>
      </c>
      <c r="V1" s="4" t="inlineStr">
        <is>
          <t>notes</t>
        </is>
      </c>
      <c r="W1" s="4" t="inlineStr">
        <is>
          <t>reviewed_by</t>
        </is>
      </c>
      <c r="X1" s="4" t="inlineStr">
        <is>
          <t>reviewed_on</t>
        </is>
      </c>
    </row>
    <row r="2">
      <c r="A2" s="5" t="inlineStr">
        <is>
          <t>f000120</t>
        </is>
      </c>
      <c r="B2" s="5" t="n">
        <v>239</v>
      </c>
      <c r="C2" s="5" t="n">
        <v>1011</v>
      </c>
      <c r="D2" s="5" t="inlineStr">
        <is>
          <t>{5AEE4579-120C-418C-965A-911EFB7A4873}</t>
        </is>
      </c>
      <c r="E2" s="5" t="inlineStr">
        <is>
          <t>Kodiak</t>
        </is>
      </c>
      <c r="F2" s="5" t="inlineStr">
        <is>
          <t>latitude</t>
        </is>
      </c>
      <c r="G2" s="5" t="n">
        <v>54.853056</v>
      </c>
      <c r="H2" s="5" t="n">
        <v>-152.39288</v>
      </c>
      <c r="I2" s="5" t="n">
        <v>57.79468</v>
      </c>
      <c r="J2" s="5" t="n">
        <v>-152.39288</v>
      </c>
      <c r="K2" s="5" t="inlineStr">
        <is>
          <t>54.853056</t>
        </is>
      </c>
      <c r="L2" s="5" t="inlineStr">
        <is>
          <t>57.79468</t>
        </is>
      </c>
      <c r="M2" s="5" t="inlineStr">
        <is>
          <t>high</t>
        </is>
      </c>
      <c r="N2" s="6" t="inlineStr">
        <is>
          <t>AEA feature geometry (X/Y) puts the site at 57.79468,-152.39286 (Kodiak city); lat column 54.85306 is 328 km off. Builds a hub/position in open Pacific.</t>
        </is>
      </c>
      <c r="O2" s="5" t="inlineStr">
        <is>
          <t>unchanged</t>
        </is>
      </c>
      <c r="P2" s="5" t="n">
        <v>57.79468</v>
      </c>
      <c r="Q2" s="5" t="n">
        <v>-152.39288</v>
      </c>
      <c r="R2" s="7">
        <f>HYPERLINK("https://www.google.com/maps?q=54.853056,-152.392880","map: stored")</f>
        <v/>
      </c>
      <c r="S2" s="7">
        <f>HYPERLINK("https://www.google.com/maps?q=57.794680,-152.392880","map: proposed")</f>
        <v/>
      </c>
      <c r="T2" s="8" t="n"/>
      <c r="U2" s="8" t="n"/>
      <c r="V2" s="8" t="n"/>
      <c r="W2" s="8" t="n"/>
      <c r="X2" s="8" t="n"/>
    </row>
    <row r="3">
      <c r="A3" s="5" t="inlineStr">
        <is>
          <t>f000268</t>
        </is>
      </c>
      <c r="B3" s="5" t="n">
        <v>772</v>
      </c>
      <c r="C3" s="5" t="n">
        <v>457</v>
      </c>
      <c r="D3" s="5" t="inlineStr">
        <is>
          <t>{D0D325AD-A296-437B-9213-8A2FD2F3621D}</t>
        </is>
      </c>
      <c r="E3" s="5" t="inlineStr">
        <is>
          <t>Coldfoot</t>
        </is>
      </c>
      <c r="F3" s="5" t="inlineStr">
        <is>
          <t>longitude;latitude</t>
        </is>
      </c>
      <c r="G3" s="5" t="n">
        <v>67.25277800000001</v>
      </c>
      <c r="H3" s="5" t="n">
        <v>-131.699722</v>
      </c>
      <c r="I3" s="5" t="n">
        <v>67.27808</v>
      </c>
      <c r="J3" s="5" t="n">
        <v>-150.26877</v>
      </c>
      <c r="K3" s="5" t="inlineStr">
        <is>
          <t>67.252778,-131.699722</t>
        </is>
      </c>
      <c r="L3" s="5" t="inlineStr">
        <is>
          <t>67.27808,-150.26877</t>
        </is>
      </c>
      <c r="M3" s="5" t="inlineStr">
        <is>
          <t>high</t>
        </is>
      </c>
      <c r="N3" s="6" t="inlineStr">
        <is>
          <t>AEA feature geometry gives -150.26877 (Coldfoot); lon column -131.69972 is in Yukon, Canada, 803 km away; site lies outside every AEA region. First audit missed it (single-site cluster).</t>
        </is>
      </c>
      <c r="O3" s="5" t="inlineStr">
        <is>
          <t>unchanged</t>
        </is>
      </c>
      <c r="P3" s="5" t="n">
        <v>67.27808</v>
      </c>
      <c r="Q3" s="5" t="n">
        <v>-150.2688</v>
      </c>
      <c r="R3" s="7">
        <f>HYPERLINK("https://www.google.com/maps?q=67.252778,-131.699722","map: stored")</f>
        <v/>
      </c>
      <c r="S3" s="7">
        <f>HYPERLINK("https://www.google.com/maps?q=67.278080,-150.268770","map: proposed")</f>
        <v/>
      </c>
      <c r="T3" s="8" t="n"/>
      <c r="U3" s="8" t="n"/>
      <c r="V3" s="8" t="n"/>
      <c r="W3" s="8" t="n"/>
      <c r="X3" s="8" t="n"/>
    </row>
    <row r="4">
      <c r="A4" s="5" t="inlineStr">
        <is>
          <t>f000283</t>
        </is>
      </c>
      <c r="B4" s="5" t="n">
        <v>600</v>
      </c>
      <c r="C4" s="5" t="n">
        <v>313</v>
      </c>
      <c r="D4" s="5" t="inlineStr">
        <is>
          <t>{8D408F52-5CE0-4A95-A586-79D54041D7C7}</t>
        </is>
      </c>
      <c r="E4" s="5" t="inlineStr">
        <is>
          <t>Bethel</t>
        </is>
      </c>
      <c r="F4" s="5" t="inlineStr">
        <is>
          <t>latitude</t>
        </is>
      </c>
      <c r="G4" s="5" t="n">
        <v>67.79558</v>
      </c>
      <c r="H4" s="5" t="n">
        <v>-161.7611</v>
      </c>
      <c r="I4" s="5" t="n">
        <v>60.79558</v>
      </c>
      <c r="J4" s="5" t="n">
        <v>-161.7611</v>
      </c>
      <c r="K4" s="5" t="inlineStr">
        <is>
          <t>67.79558</t>
        </is>
      </c>
      <c r="L4" s="5" t="inlineStr">
        <is>
          <t>60.79558</t>
        </is>
      </c>
      <c r="M4" s="5" t="inlineStr">
        <is>
          <t>high</t>
        </is>
      </c>
      <c r="N4" s="6" t="inlineStr">
        <is>
          <t>One-digit edit 67→60 lands in Bethel (60.79,-161.76); stored point is north of the Arctic Circle. Alone forms Hub_308 (h000054), not in the giant component.</t>
        </is>
      </c>
      <c r="O4" s="5" t="inlineStr">
        <is>
          <t>unchanged</t>
        </is>
      </c>
      <c r="P4" s="5" t="n">
        <v>67.79572</v>
      </c>
      <c r="Q4" s="5" t="n">
        <v>-161.76111</v>
      </c>
      <c r="R4" s="7">
        <f>HYPERLINK("https://www.google.com/maps?q=67.795580,-161.761100","map: stored")</f>
        <v/>
      </c>
      <c r="S4" s="7">
        <f>HYPERLINK("https://www.google.com/maps?q=60.795580,-161.761100","map: proposed")</f>
        <v/>
      </c>
      <c r="T4" s="8" t="n"/>
      <c r="U4" s="8" t="n"/>
      <c r="V4" s="8" t="n"/>
      <c r="W4" s="8" t="n"/>
      <c r="X4" s="8" t="n"/>
    </row>
    <row r="5">
      <c r="A5" s="5" t="inlineStr">
        <is>
          <t>f000093</t>
        </is>
      </c>
      <c r="B5" s="5" t="n">
        <v>407</v>
      </c>
      <c r="C5" s="5" t="n">
        <v>1206</v>
      </c>
      <c r="D5" s="5" t="inlineStr">
        <is>
          <t>{978F2CF3-F873-42E9-A4F4-4744D455FBA9}</t>
        </is>
      </c>
      <c r="E5" s="5" t="inlineStr">
        <is>
          <t>New Stuyahok</t>
        </is>
      </c>
      <c r="F5" s="5" t="inlineStr">
        <is>
          <t>longitude</t>
        </is>
      </c>
      <c r="G5" s="5" t="n">
        <v>59.4571</v>
      </c>
      <c r="H5" s="5" t="n">
        <v>-159.3748</v>
      </c>
      <c r="I5" s="5" t="n">
        <v>59.4571</v>
      </c>
      <c r="J5" s="5" t="n">
        <v>-157.3748</v>
      </c>
      <c r="K5" s="5" t="inlineStr">
        <is>
          <t>-159.3748</t>
        </is>
      </c>
      <c r="L5" s="5" t="inlineStr">
        <is>
          <t>-157.3748</t>
        </is>
      </c>
      <c r="M5" s="5" t="inlineStr">
        <is>
          <t>high</t>
        </is>
      </c>
      <c r="N5" s="6" t="inlineStr">
        <is>
          <t>One-digit edit -159→-157 lands in New Stuyahok (59.45,-157.31); stored point is ~110 km west.</t>
        </is>
      </c>
      <c r="O5" s="5" t="inlineStr">
        <is>
          <t>unchanged</t>
        </is>
      </c>
      <c r="P5" s="5" t="n">
        <v>59.45709</v>
      </c>
      <c r="Q5" s="5" t="n">
        <v>-159.37482</v>
      </c>
      <c r="R5" s="7">
        <f>HYPERLINK("https://www.google.com/maps?q=59.457100,-159.374800","map: stored")</f>
        <v/>
      </c>
      <c r="S5" s="7">
        <f>HYPERLINK("https://www.google.com/maps?q=59.457100,-157.374800","map: proposed")</f>
        <v/>
      </c>
      <c r="T5" s="8" t="n"/>
      <c r="U5" s="8" t="n"/>
      <c r="V5" s="8" t="n"/>
      <c r="W5" s="8" t="n"/>
      <c r="X5" s="8" t="n"/>
    </row>
  </sheetData>
  <autoFilter ref="A1:X5"/>
  <dataValidations count="1">
    <dataValidation sqref="T2:T5" showDropDown="0" showInputMessage="0" showErrorMessage="0" allowBlank="1" type="list">
      <formula1>"approve,approve with my value,reject,ask AEA,skip for now"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14" customWidth="1" min="13" max="13"/>
    <col width="70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0" customWidth="1" min="22" max="22"/>
    <col width="14" customWidth="1" min="23" max="23"/>
    <col width="14" customWidth="1" min="24" max="24"/>
  </cols>
  <sheetData>
    <row r="1">
      <c r="A1" s="4" t="inlineStr">
        <is>
          <t>facility_pid</t>
        </is>
      </c>
      <c r="B1" s="4" t="inlineStr">
        <is>
          <t>facility_id</t>
        </is>
      </c>
      <c r="C1" s="4" t="inlineStr">
        <is>
          <t>csv_row</t>
        </is>
      </c>
      <c r="D1" s="4" t="inlineStr">
        <is>
          <t>GlobalID</t>
        </is>
      </c>
      <c r="E1" s="4" t="inlineStr">
        <is>
          <t>label</t>
        </is>
      </c>
      <c r="F1" s="4" t="inlineStr">
        <is>
          <t>field</t>
        </is>
      </c>
      <c r="G1" s="4" t="inlineStr">
        <is>
          <t>current_lat</t>
        </is>
      </c>
      <c r="H1" s="4" t="inlineStr">
        <is>
          <t>current_lon</t>
        </is>
      </c>
      <c r="I1" s="4" t="inlineStr">
        <is>
          <t>proposed_lat</t>
        </is>
      </c>
      <c r="J1" s="4" t="inlineStr">
        <is>
          <t>proposed_lon</t>
        </is>
      </c>
      <c r="K1" s="4" t="inlineStr">
        <is>
          <t>current_value</t>
        </is>
      </c>
      <c r="L1" s="4" t="inlineStr">
        <is>
          <t>proposed_value</t>
        </is>
      </c>
      <c r="M1" s="4" t="inlineStr">
        <is>
          <t>confidence</t>
        </is>
      </c>
      <c r="N1" s="4" t="inlineStr">
        <is>
          <t>evidence</t>
        </is>
      </c>
      <c r="O1" s="4" t="inlineStr">
        <is>
          <t>aea_2025_status</t>
        </is>
      </c>
      <c r="P1" s="4" t="inlineStr">
        <is>
          <t>aea_2025_map_lat</t>
        </is>
      </c>
      <c r="Q1" s="4" t="inlineStr">
        <is>
          <t>aea_2025_map_lon</t>
        </is>
      </c>
      <c r="R1" s="4" t="inlineStr">
        <is>
          <t>map: stored</t>
        </is>
      </c>
      <c r="S1" s="4" t="inlineStr">
        <is>
          <t>map: proposed</t>
        </is>
      </c>
      <c r="T1" s="4" t="inlineStr">
        <is>
          <t>decision</t>
        </is>
      </c>
      <c r="U1" s="4" t="inlineStr">
        <is>
          <t>your_value</t>
        </is>
      </c>
      <c r="V1" s="4" t="inlineStr">
        <is>
          <t>notes</t>
        </is>
      </c>
      <c r="W1" s="4" t="inlineStr">
        <is>
          <t>reviewed_by</t>
        </is>
      </c>
      <c r="X1" s="4" t="inlineStr">
        <is>
          <t>reviewed_on</t>
        </is>
      </c>
    </row>
    <row r="2">
      <c r="A2" s="5" t="inlineStr">
        <is>
          <t>f000917</t>
        </is>
      </c>
      <c r="B2" s="5" t="n">
        <v>1197</v>
      </c>
      <c r="C2" s="5" t="n">
        <v>507</v>
      </c>
      <c r="D2" s="5" t="inlineStr">
        <is>
          <t>{E4CF3B9E-8613-49C3-94A8-E46B9248AE34}</t>
        </is>
      </c>
      <c r="E2" s="5" t="inlineStr">
        <is>
          <t>Delta Junction</t>
        </is>
      </c>
      <c r="F2" s="5" t="inlineStr">
        <is>
          <t>longitude</t>
        </is>
      </c>
      <c r="G2" s="5" t="n">
        <v>63.999927</v>
      </c>
      <c r="H2" s="5" t="n">
        <v>-144.731094</v>
      </c>
      <c r="I2" s="5" t="n">
        <v>63.999927</v>
      </c>
      <c r="J2" s="5" t="n">
        <v>-145.731094</v>
      </c>
      <c r="K2" s="5" t="inlineStr">
        <is>
          <t>-144.731094</t>
        </is>
      </c>
      <c r="L2" s="5" t="inlineStr">
        <is>
          <t>-145.731094</t>
        </is>
      </c>
      <c r="M2" s="5" t="inlineStr">
        <is>
          <t>medium</t>
        </is>
      </c>
      <c r="N2" s="6" t="inlineStr">
        <is>
          <t>Delta Junction is at -145.73; stored -144.73 is ~50 km east. f001773 'Healy' sits on the same erroneous spot (copied). AEA geometry agrees with the stored value, so verify with AEA.</t>
        </is>
      </c>
      <c r="O2" s="5" t="inlineStr">
        <is>
          <t>unchanged</t>
        </is>
      </c>
      <c r="P2" s="5" t="n">
        <v>63.99988</v>
      </c>
      <c r="Q2" s="5" t="n">
        <v>-144.73108</v>
      </c>
      <c r="R2" s="7">
        <f>HYPERLINK("https://www.google.com/maps?q=63.999927,-144.731094","map: stored")</f>
        <v/>
      </c>
      <c r="S2" s="7">
        <f>HYPERLINK("https://www.google.com/maps?q=63.999927,-145.731094","map: proposed")</f>
        <v/>
      </c>
      <c r="T2" s="8" t="n"/>
      <c r="U2" s="8" t="n"/>
      <c r="V2" s="8" t="n"/>
      <c r="W2" s="8" t="n"/>
      <c r="X2" s="8" t="n"/>
    </row>
    <row r="3">
      <c r="A3" s="5" t="inlineStr">
        <is>
          <t>f000228</t>
        </is>
      </c>
      <c r="B3" s="5" t="n">
        <v>815</v>
      </c>
      <c r="C3" s="5" t="n">
        <v>1365</v>
      </c>
      <c r="D3" s="5" t="inlineStr">
        <is>
          <t>{0F01BB32-5A29-4652-976C-10E724180102}</t>
        </is>
      </c>
      <c r="E3" s="5" t="inlineStr">
        <is>
          <t>Petersburg</t>
        </is>
      </c>
      <c r="F3" s="5" t="inlineStr">
        <is>
          <t>latitude</t>
        </is>
      </c>
      <c r="G3" s="5" t="n">
        <v>56.236042</v>
      </c>
      <c r="H3" s="5" t="n">
        <v>-132.981428</v>
      </c>
      <c r="I3" s="5" t="n">
        <v>56.736042</v>
      </c>
      <c r="J3" s="5" t="n">
        <v>-132.981428</v>
      </c>
      <c r="K3" s="5" t="inlineStr">
        <is>
          <t>56.236042</t>
        </is>
      </c>
      <c r="L3" s="5" t="inlineStr">
        <is>
          <t>56.736042</t>
        </is>
      </c>
      <c r="M3" s="5" t="inlineStr">
        <is>
          <t>medium</t>
        </is>
      </c>
      <c r="N3" s="6" t="inlineStr">
        <is>
          <t>Petersburg area; stored 56.236 is ~55 km south in open water/Kupreanof south; candidate 56.736 is ~8 km from town. AEA geometry agrees with the stored value, so verify with AEA.</t>
        </is>
      </c>
      <c r="O3" s="5" t="inlineStr">
        <is>
          <t>unchanged</t>
        </is>
      </c>
      <c r="P3" s="5" t="n">
        <v>56.23608</v>
      </c>
      <c r="Q3" s="5" t="n">
        <v>-132.98138</v>
      </c>
      <c r="R3" s="7">
        <f>HYPERLINK("https://www.google.com/maps?q=56.236042,-132.981428","map: stored")</f>
        <v/>
      </c>
      <c r="S3" s="7">
        <f>HYPERLINK("https://www.google.com/maps?q=56.736042,-132.981428","map: proposed")</f>
        <v/>
      </c>
      <c r="T3" s="8" t="n"/>
      <c r="U3" s="8" t="n"/>
      <c r="V3" s="8" t="n"/>
      <c r="W3" s="8" t="n"/>
      <c r="X3" s="8" t="n"/>
    </row>
    <row r="4">
      <c r="A4" s="5" t="inlineStr">
        <is>
          <t>f000486</t>
        </is>
      </c>
      <c r="B4" s="5" t="n">
        <v>452</v>
      </c>
      <c r="C4" s="5" t="n">
        <v>1369</v>
      </c>
      <c r="D4" s="5" t="inlineStr">
        <is>
          <t>{32574618-B703-4A8E-85F9-35EC4E4EA4A9}</t>
        </is>
      </c>
      <c r="E4" s="5" t="inlineStr">
        <is>
          <t>Pilot Point</t>
        </is>
      </c>
      <c r="F4" s="5" t="inlineStr">
        <is>
          <t>longitude</t>
        </is>
      </c>
      <c r="G4" s="5" t="n">
        <v>57.578333</v>
      </c>
      <c r="H4" s="5" t="n">
        <v>-157.053889</v>
      </c>
      <c r="I4" s="5" t="n">
        <v>57.578333</v>
      </c>
      <c r="J4" s="5" t="n">
        <v>-157.453889</v>
      </c>
      <c r="K4" s="5" t="inlineStr">
        <is>
          <t>-157.053889</t>
        </is>
      </c>
      <c r="L4" s="5" t="inlineStr">
        <is>
          <t>-157.453889</t>
        </is>
      </c>
      <c r="M4" s="5" t="inlineStr">
        <is>
          <t>medium</t>
        </is>
      </c>
      <c r="N4" s="6" t="inlineStr">
        <is>
          <t>Pilot Point is at -157.58; stored -157.054 is ~30 km east; candidate is ~8 km. AEA geometry agrees with the stored value, so verify with AEA.</t>
        </is>
      </c>
      <c r="O4" s="5" t="inlineStr">
        <is>
          <t>unchanged</t>
        </is>
      </c>
      <c r="P4" s="5" t="n">
        <v>57.57831</v>
      </c>
      <c r="Q4" s="5" t="n">
        <v>-157.05389</v>
      </c>
      <c r="R4" s="7">
        <f>HYPERLINK("https://www.google.com/maps?q=57.578333,-157.053889","map: stored")</f>
        <v/>
      </c>
      <c r="S4" s="7">
        <f>HYPERLINK("https://www.google.com/maps?q=57.578333,-157.453889","map: proposed")</f>
        <v/>
      </c>
      <c r="T4" s="8" t="n"/>
      <c r="U4" s="8" t="n"/>
      <c r="V4" s="8" t="n"/>
      <c r="W4" s="8" t="n"/>
      <c r="X4" s="8" t="n"/>
    </row>
    <row r="5">
      <c r="A5" s="5" t="inlineStr">
        <is>
          <t>f000386</t>
        </is>
      </c>
      <c r="B5" s="5" t="n">
        <v>622</v>
      </c>
      <c r="C5" s="5" t="n">
        <v>1833</v>
      </c>
      <c r="D5" s="5" t="inlineStr">
        <is>
          <t>{78CFC821-3DC6-4967-BE1E-BF74D043A62F}</t>
        </is>
      </c>
      <c r="E5" s="5" t="inlineStr">
        <is>
          <t>Wrangell</t>
        </is>
      </c>
      <c r="F5" s="5" t="inlineStr">
        <is>
          <t>latitude</t>
        </is>
      </c>
      <c r="G5" s="5" t="n">
        <v>56.136278</v>
      </c>
      <c r="H5" s="5" t="n">
        <v>-132.404917</v>
      </c>
      <c r="I5" s="5" t="n">
        <v>56.436278</v>
      </c>
      <c r="J5" s="5" t="n">
        <v>-132.404917</v>
      </c>
      <c r="K5" s="5" t="inlineStr">
        <is>
          <t>56.136278</t>
        </is>
      </c>
      <c r="L5" s="5" t="inlineStr">
        <is>
          <t>56.436278</t>
        </is>
      </c>
      <c r="M5" s="5" t="inlineStr">
        <is>
          <t>medium</t>
        </is>
      </c>
      <c r="N5" s="6" t="inlineStr">
        <is>
          <t>Wrangell is at 56.47; stored 56.136 is ~35 km south; candidate within ~4 km. AEA geometry agrees with the stored value, so verify with AEA.</t>
        </is>
      </c>
      <c r="O5" s="5" t="inlineStr">
        <is>
          <t>unchanged</t>
        </is>
      </c>
      <c r="P5" s="5" t="n">
        <v>56.13629</v>
      </c>
      <c r="Q5" s="5" t="n">
        <v>-132.40491</v>
      </c>
      <c r="R5" s="7">
        <f>HYPERLINK("https://www.google.com/maps?q=56.136278,-132.404917","map: stored")</f>
        <v/>
      </c>
      <c r="S5" s="7">
        <f>HYPERLINK("https://www.google.com/maps?q=56.436278,-132.404917","map: proposed")</f>
        <v/>
      </c>
      <c r="T5" s="8" t="n"/>
      <c r="U5" s="8" t="n"/>
      <c r="V5" s="8" t="n"/>
      <c r="W5" s="8" t="n"/>
      <c r="X5" s="8" t="n"/>
    </row>
  </sheetData>
  <autoFilter ref="A1:X5"/>
  <dataValidations count="1">
    <dataValidation sqref="T2:T5" showDropDown="0" showInputMessage="0" showErrorMessage="0" allowBlank="1" type="list">
      <formula1>"approve,approve with my value,reject,ask AEA,skip for now"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14" customWidth="1" min="13" max="13"/>
    <col width="70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0" customWidth="1" min="22" max="22"/>
    <col width="14" customWidth="1" min="23" max="23"/>
    <col width="14" customWidth="1" min="24" max="24"/>
  </cols>
  <sheetData>
    <row r="1">
      <c r="A1" s="4" t="inlineStr">
        <is>
          <t>facility_pid</t>
        </is>
      </c>
      <c r="B1" s="4" t="inlineStr">
        <is>
          <t>facility_id</t>
        </is>
      </c>
      <c r="C1" s="4" t="inlineStr">
        <is>
          <t>csv_row</t>
        </is>
      </c>
      <c r="D1" s="4" t="inlineStr">
        <is>
          <t>GlobalID</t>
        </is>
      </c>
      <c r="E1" s="4" t="inlineStr">
        <is>
          <t>label</t>
        </is>
      </c>
      <c r="F1" s="4" t="inlineStr">
        <is>
          <t>field</t>
        </is>
      </c>
      <c r="G1" s="4" t="inlineStr">
        <is>
          <t>current_lat</t>
        </is>
      </c>
      <c r="H1" s="4" t="inlineStr">
        <is>
          <t>current_lon</t>
        </is>
      </c>
      <c r="I1" s="4" t="inlineStr">
        <is>
          <t>proposed_lat</t>
        </is>
      </c>
      <c r="J1" s="4" t="inlineStr">
        <is>
          <t>proposed_lon</t>
        </is>
      </c>
      <c r="K1" s="4" t="inlineStr">
        <is>
          <t>current_value</t>
        </is>
      </c>
      <c r="L1" s="4" t="inlineStr">
        <is>
          <t>proposed_value</t>
        </is>
      </c>
      <c r="M1" s="4" t="inlineStr">
        <is>
          <t>confidence</t>
        </is>
      </c>
      <c r="N1" s="4" t="inlineStr">
        <is>
          <t>evidence</t>
        </is>
      </c>
      <c r="O1" s="4" t="inlineStr">
        <is>
          <t>aea_2025_status</t>
        </is>
      </c>
      <c r="P1" s="4" t="inlineStr">
        <is>
          <t>aea_2025_map_lat</t>
        </is>
      </c>
      <c r="Q1" s="4" t="inlineStr">
        <is>
          <t>aea_2025_map_lon</t>
        </is>
      </c>
      <c r="R1" s="4" t="inlineStr">
        <is>
          <t>map: stored</t>
        </is>
      </c>
      <c r="S1" s="4" t="inlineStr">
        <is>
          <t>map: proposed</t>
        </is>
      </c>
      <c r="T1" s="4" t="inlineStr">
        <is>
          <t>decision</t>
        </is>
      </c>
      <c r="U1" s="4" t="inlineStr">
        <is>
          <t>your_value</t>
        </is>
      </c>
      <c r="V1" s="4" t="inlineStr">
        <is>
          <t>notes</t>
        </is>
      </c>
      <c r="W1" s="4" t="inlineStr">
        <is>
          <t>reviewed_by</t>
        </is>
      </c>
      <c r="X1" s="4" t="inlineStr">
        <is>
          <t>reviewed_on</t>
        </is>
      </c>
    </row>
    <row r="2">
      <c r="A2" s="5" t="inlineStr">
        <is>
          <t>f001606</t>
        </is>
      </c>
      <c r="B2" s="5" t="n">
        <v>1096</v>
      </c>
      <c r="C2" s="5" t="n">
        <v>1770</v>
      </c>
      <c r="D2" s="5" t="inlineStr">
        <is>
          <t>{A5E8D42A-4A72-4380-B9D4-5CC0084B55D2}</t>
        </is>
      </c>
      <c r="E2" s="5" t="inlineStr">
        <is>
          <t>Unalaska</t>
        </is>
      </c>
      <c r="F2" s="5" t="inlineStr">
        <is>
          <t>latitude;longitude</t>
        </is>
      </c>
      <c r="G2" s="5" t="n">
        <v>63.89194</v>
      </c>
      <c r="H2" s="5" t="n">
        <v>-160.6842</v>
      </c>
      <c r="I2" s="5" t="n">
        <v>53.88274</v>
      </c>
      <c r="J2" s="5" t="n">
        <v>-166.550742</v>
      </c>
      <c r="K2" s="5" t="inlineStr">
        <is>
          <t>63.89194,-160.6842</t>
        </is>
      </c>
      <c r="L2" s="5" t="inlineStr">
        <is>
          <t>53.88274,-166.550742</t>
        </is>
      </c>
      <c r="M2" s="5" t="inlineStr">
        <is>
          <t>medium-high</t>
        </is>
      </c>
      <c r="N2" s="6" t="inlineStr">
        <is>
          <t>Coordinates swapped with f000147: this 'Unalaska' record sits in Unalakleet (15/15 neighbours Unalakleet) and f000147 'Unalakleet' sits in Dutch Harbor. CommunityID matches the label on both, so the positions are the swapped field. Alone creates Hub_62 (h000216) 'Unalaska' on Norton Sound.</t>
        </is>
      </c>
      <c r="O2" s="5" t="inlineStr">
        <is>
          <t>unchanged</t>
        </is>
      </c>
      <c r="P2" s="5" t="n">
        <v>63.89209</v>
      </c>
      <c r="Q2" s="5" t="n">
        <v>-160.6842</v>
      </c>
      <c r="R2" s="7">
        <f>HYPERLINK("https://www.google.com/maps?q=63.891940,-160.684200","map: stored")</f>
        <v/>
      </c>
      <c r="S2" s="7">
        <f>HYPERLINK("https://www.google.com/maps?q=53.882740,-166.550742","map: proposed")</f>
        <v/>
      </c>
      <c r="T2" s="8" t="n"/>
      <c r="U2" s="8" t="n"/>
      <c r="V2" s="8" t="n"/>
      <c r="W2" s="8" t="n"/>
      <c r="X2" s="8" t="n"/>
    </row>
    <row r="3">
      <c r="A3" s="5" t="inlineStr">
        <is>
          <t>f000147</t>
        </is>
      </c>
      <c r="B3" s="5" t="n">
        <v>1255</v>
      </c>
      <c r="C3" s="5" t="n">
        <v>1756</v>
      </c>
      <c r="D3" s="5" t="inlineStr">
        <is>
          <t>{621FCC2F-3A90-426E-A211-00250864F71E}</t>
        </is>
      </c>
      <c r="E3" s="5" t="inlineStr">
        <is>
          <t>Unalakleet</t>
        </is>
      </c>
      <c r="F3" s="5" t="inlineStr">
        <is>
          <t>latitude;longitude</t>
        </is>
      </c>
      <c r="G3" s="5" t="n">
        <v>53.88274</v>
      </c>
      <c r="H3" s="5" t="n">
        <v>-166.550742</v>
      </c>
      <c r="I3" s="5" t="n">
        <v>63.89194</v>
      </c>
      <c r="J3" s="5" t="n">
        <v>-160.6842</v>
      </c>
      <c r="K3" s="5" t="inlineStr">
        <is>
          <t>53.88274,-166.550742</t>
        </is>
      </c>
      <c r="L3" s="5" t="inlineStr">
        <is>
          <t>63.89194,-160.6842</t>
        </is>
      </c>
      <c r="M3" s="5" t="inlineStr">
        <is>
          <t>medium-high</t>
        </is>
      </c>
      <c r="N3" s="6" t="inlineStr">
        <is>
          <t>Pair of f001606 (see there). In the build it is dropped as a cross-borough conflict (tag.assign_community_region).</t>
        </is>
      </c>
      <c r="O3" s="5" t="inlineStr">
        <is>
          <t>unchanged</t>
        </is>
      </c>
      <c r="P3" s="5" t="n">
        <v>53.88287</v>
      </c>
      <c r="Q3" s="5" t="n">
        <v>-166.55072</v>
      </c>
      <c r="R3" s="7">
        <f>HYPERLINK("https://www.google.com/maps?q=53.882740,-166.550742","map: stored")</f>
        <v/>
      </c>
      <c r="S3" s="7">
        <f>HYPERLINK("https://www.google.com/maps?q=63.891940,-160.684200","map: proposed")</f>
        <v/>
      </c>
      <c r="T3" s="8" t="n"/>
      <c r="U3" s="8" t="n"/>
      <c r="V3" s="8" t="n"/>
      <c r="W3" s="8" t="n"/>
      <c r="X3" s="8" t="n"/>
    </row>
  </sheetData>
  <autoFilter ref="A1:X3"/>
  <dataValidations count="1">
    <dataValidation sqref="T2:T3" showDropDown="0" showInputMessage="0" showErrorMessage="0" allowBlank="1" type="list">
      <formula1>"approve,approve with my value,reject,ask AEA,skip for now"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14" customWidth="1" min="13" max="13"/>
    <col width="70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0" customWidth="1" min="22" max="22"/>
    <col width="14" customWidth="1" min="23" max="23"/>
    <col width="14" customWidth="1" min="24" max="24"/>
  </cols>
  <sheetData>
    <row r="1">
      <c r="A1" s="4" t="inlineStr">
        <is>
          <t>facility_pid</t>
        </is>
      </c>
      <c r="B1" s="4" t="inlineStr">
        <is>
          <t>facility_id</t>
        </is>
      </c>
      <c r="C1" s="4" t="inlineStr">
        <is>
          <t>csv_row</t>
        </is>
      </c>
      <c r="D1" s="4" t="inlineStr">
        <is>
          <t>GlobalID</t>
        </is>
      </c>
      <c r="E1" s="4" t="inlineStr">
        <is>
          <t>label</t>
        </is>
      </c>
      <c r="F1" s="4" t="inlineStr">
        <is>
          <t>field</t>
        </is>
      </c>
      <c r="G1" s="4" t="inlineStr">
        <is>
          <t>current_lat</t>
        </is>
      </c>
      <c r="H1" s="4" t="inlineStr">
        <is>
          <t>current_lon</t>
        </is>
      </c>
      <c r="I1" s="4" t="inlineStr">
        <is>
          <t>proposed_lat</t>
        </is>
      </c>
      <c r="J1" s="4" t="inlineStr">
        <is>
          <t>proposed_lon</t>
        </is>
      </c>
      <c r="K1" s="4" t="inlineStr">
        <is>
          <t>current_value</t>
        </is>
      </c>
      <c r="L1" s="4" t="inlineStr">
        <is>
          <t>proposed_value</t>
        </is>
      </c>
      <c r="M1" s="4" t="inlineStr">
        <is>
          <t>confidence</t>
        </is>
      </c>
      <c r="N1" s="4" t="inlineStr">
        <is>
          <t>evidence</t>
        </is>
      </c>
      <c r="O1" s="4" t="inlineStr">
        <is>
          <t>aea_2025_status</t>
        </is>
      </c>
      <c r="P1" s="4" t="inlineStr">
        <is>
          <t>aea_2025_map_lat</t>
        </is>
      </c>
      <c r="Q1" s="4" t="inlineStr">
        <is>
          <t>aea_2025_map_lon</t>
        </is>
      </c>
      <c r="R1" s="4" t="inlineStr">
        <is>
          <t>map: stored</t>
        </is>
      </c>
      <c r="S1" s="4" t="inlineStr">
        <is>
          <t>map: proposed</t>
        </is>
      </c>
      <c r="T1" s="4" t="inlineStr">
        <is>
          <t>decision</t>
        </is>
      </c>
      <c r="U1" s="4" t="inlineStr">
        <is>
          <t>your_value</t>
        </is>
      </c>
      <c r="V1" s="4" t="inlineStr">
        <is>
          <t>notes</t>
        </is>
      </c>
      <c r="W1" s="4" t="inlineStr">
        <is>
          <t>reviewed_by</t>
        </is>
      </c>
      <c r="X1" s="4" t="inlineStr">
        <is>
          <t>reviewed_on</t>
        </is>
      </c>
    </row>
    <row r="2">
      <c r="A2" s="5" t="inlineStr">
        <is>
          <t>f000534</t>
        </is>
      </c>
      <c r="B2" s="5" t="n">
        <v>1418</v>
      </c>
      <c r="C2" s="5" t="n">
        <v>481</v>
      </c>
      <c r="D2" s="5" t="inlineStr">
        <is>
          <t>{5CE97A73-0D33-4600-836B-A3E084CE3826}</t>
        </is>
      </c>
      <c r="E2" s="5" t="inlineStr">
        <is>
          <t>Craig</t>
        </is>
      </c>
      <c r="F2" s="5" t="inlineStr">
        <is>
          <t>community_name</t>
        </is>
      </c>
      <c r="G2" s="5" t="n">
        <v>56.017179</v>
      </c>
      <c r="H2" s="5" t="n">
        <v>-132.828041</v>
      </c>
      <c r="I2" s="5" t="n"/>
      <c r="J2" s="5" t="n"/>
      <c r="K2" s="5" t="inlineStr">
        <is>
          <t>Craig</t>
        </is>
      </c>
      <c r="L2" s="5" t="inlineStr">
        <is>
          <t>Coffman Cove</t>
        </is>
      </c>
      <c r="M2" s="5" t="inlineStr">
        <is>
          <t>medium</t>
        </is>
      </c>
      <c r="N2" s="6" t="inlineStr">
        <is>
          <t>Independent point (0.3 km from the nearest other-community site); 5 of 5 sites within 15 km are 'Coffman Cove'. Label probably names the operator's home community, not the site.</t>
        </is>
      </c>
      <c r="O2" s="5" t="inlineStr">
        <is>
          <t>unchanged</t>
        </is>
      </c>
      <c r="P2" s="5" t="n">
        <v>56.01727</v>
      </c>
      <c r="Q2" s="5" t="n">
        <v>-132.828</v>
      </c>
      <c r="R2" s="7">
        <f>HYPERLINK("https://www.google.com/maps?q=56.017179,-132.828041","map: stored")</f>
        <v/>
      </c>
      <c r="S2" s="2" t="inlineStr">
        <is>
          <t>(label change)</t>
        </is>
      </c>
      <c r="T2" s="8" t="n"/>
      <c r="U2" s="8" t="n"/>
      <c r="V2" s="8" t="n"/>
      <c r="W2" s="8" t="n"/>
      <c r="X2" s="8" t="n"/>
    </row>
    <row r="3">
      <c r="A3" s="5" t="inlineStr">
        <is>
          <t>f000508</t>
        </is>
      </c>
      <c r="B3" s="5" t="n">
        <v>51</v>
      </c>
      <c r="C3" s="5" t="n">
        <v>552</v>
      </c>
      <c r="D3" s="5" t="inlineStr">
        <is>
          <t>{B15A52C6-6F30-470D-9BA8-5037E9F1F1EC}</t>
        </is>
      </c>
      <c r="E3" s="5" t="inlineStr">
        <is>
          <t>Eielson Afb</t>
        </is>
      </c>
      <c r="F3" s="5" t="inlineStr">
        <is>
          <t>community_name</t>
        </is>
      </c>
      <c r="G3" s="5" t="n">
        <v>61.245907</v>
      </c>
      <c r="H3" s="5" t="n">
        <v>-149.710691</v>
      </c>
      <c r="I3" s="5" t="n"/>
      <c r="J3" s="5" t="n"/>
      <c r="K3" s="5" t="inlineStr">
        <is>
          <t>Eielson Afb</t>
        </is>
      </c>
      <c r="L3" s="5" t="inlineStr">
        <is>
          <t>Anchorage</t>
        </is>
      </c>
      <c r="M3" s="5" t="inlineStr">
        <is>
          <t>medium</t>
        </is>
      </c>
      <c r="N3" s="6" t="inlineStr">
        <is>
          <t>Independent point (1.9 km from the nearest other-community site); 40 of 45 sites within 15 km are 'Anchorage'. Label probably names the operator's home community, not the site.</t>
        </is>
      </c>
      <c r="O3" s="5" t="inlineStr">
        <is>
          <t>unchanged</t>
        </is>
      </c>
      <c r="P3" s="5" t="n">
        <v>61.24591</v>
      </c>
      <c r="Q3" s="5" t="n">
        <v>-149.71069</v>
      </c>
      <c r="R3" s="7">
        <f>HYPERLINK("https://www.google.com/maps?q=61.245907,-149.710691","map: stored")</f>
        <v/>
      </c>
      <c r="S3" s="2" t="inlineStr">
        <is>
          <t>(label change)</t>
        </is>
      </c>
      <c r="T3" s="8" t="n"/>
      <c r="U3" s="8" t="n"/>
      <c r="V3" s="8" t="n"/>
      <c r="W3" s="8" t="n"/>
      <c r="X3" s="8" t="n"/>
    </row>
    <row r="4">
      <c r="A4" s="5" t="inlineStr">
        <is>
          <t>f001192</t>
        </is>
      </c>
      <c r="B4" s="5" t="n">
        <v>754</v>
      </c>
      <c r="C4" s="5" t="n">
        <v>607</v>
      </c>
      <c r="D4" s="5" t="inlineStr">
        <is>
          <t>{BFC59C95-ABE4-4959-BE52-7F09A5308991}</t>
        </is>
      </c>
      <c r="E4" s="5" t="inlineStr">
        <is>
          <t>Fairbanks</t>
        </is>
      </c>
      <c r="F4" s="5" t="inlineStr">
        <is>
          <t>community_name</t>
        </is>
      </c>
      <c r="G4" s="5" t="n">
        <v>66.563958</v>
      </c>
      <c r="H4" s="5" t="n">
        <v>-145.258792</v>
      </c>
      <c r="I4" s="5" t="n"/>
      <c r="J4" s="5" t="n"/>
      <c r="K4" s="5" t="inlineStr">
        <is>
          <t>Fairbanks</t>
        </is>
      </c>
      <c r="L4" s="5" t="inlineStr">
        <is>
          <t>Fort Yukon</t>
        </is>
      </c>
      <c r="M4" s="5" t="inlineStr">
        <is>
          <t>medium</t>
        </is>
      </c>
      <c r="N4" s="6" t="inlineStr">
        <is>
          <t>Independent point (0.1 km from the nearest other-community site); 20 of 22 sites within 15 km are 'Fort Yukon'. Label probably names the operator's home community, not the site.</t>
        </is>
      </c>
      <c r="O4" s="5" t="inlineStr">
        <is>
          <t>unchanged</t>
        </is>
      </c>
      <c r="P4" s="5" t="n">
        <v>66.56408999999999</v>
      </c>
      <c r="Q4" s="5" t="n">
        <v>-145.25879</v>
      </c>
      <c r="R4" s="7">
        <f>HYPERLINK("https://www.google.com/maps?q=66.563958,-145.258792","map: stored")</f>
        <v/>
      </c>
      <c r="S4" s="2" t="inlineStr">
        <is>
          <t>(label change)</t>
        </is>
      </c>
      <c r="T4" s="8" t="n"/>
      <c r="U4" s="8" t="n"/>
      <c r="V4" s="8" t="n"/>
      <c r="W4" s="8" t="n"/>
      <c r="X4" s="8" t="n"/>
    </row>
    <row r="5">
      <c r="A5" s="5" t="inlineStr">
        <is>
          <t>f000531</t>
        </is>
      </c>
      <c r="B5" s="5" t="n">
        <v>1058</v>
      </c>
      <c r="C5" s="5" t="n">
        <v>626</v>
      </c>
      <c r="D5" s="5" t="inlineStr">
        <is>
          <t>{2B48564F-DF5A-4814-B2B3-21E3157048CA}</t>
        </is>
      </c>
      <c r="E5" s="5" t="inlineStr">
        <is>
          <t>Fairbanks</t>
        </is>
      </c>
      <c r="F5" s="5" t="inlineStr">
        <is>
          <t>community_name</t>
        </is>
      </c>
      <c r="G5" s="5" t="n">
        <v>64.51251999999999</v>
      </c>
      <c r="H5" s="5" t="n">
        <v>-165.4303</v>
      </c>
      <c r="I5" s="5" t="n"/>
      <c r="J5" s="5" t="n"/>
      <c r="K5" s="5" t="inlineStr">
        <is>
          <t>Fairbanks</t>
        </is>
      </c>
      <c r="L5" s="5" t="inlineStr">
        <is>
          <t>Nome</t>
        </is>
      </c>
      <c r="M5" s="5" t="inlineStr">
        <is>
          <t>medium</t>
        </is>
      </c>
      <c r="N5" s="6" t="inlineStr">
        <is>
          <t>Independent point (0.3 km from the nearest other-community site); 17 of 18 sites within 15 km are 'Nome'. Label probably names the operator's home community, not the site.</t>
        </is>
      </c>
      <c r="O5" s="5" t="inlineStr">
        <is>
          <t>unchanged</t>
        </is>
      </c>
      <c r="P5" s="5" t="n">
        <v>64.51251000000001</v>
      </c>
      <c r="Q5" s="5" t="n">
        <v>-165.4303</v>
      </c>
      <c r="R5" s="7">
        <f>HYPERLINK("https://www.google.com/maps?q=64.512520,-165.430300","map: stored")</f>
        <v/>
      </c>
      <c r="S5" s="2" t="inlineStr">
        <is>
          <t>(label change)</t>
        </is>
      </c>
      <c r="T5" s="8" t="n"/>
      <c r="U5" s="8" t="n"/>
      <c r="V5" s="8" t="n"/>
      <c r="W5" s="8" t="n"/>
      <c r="X5" s="8" t="n"/>
    </row>
    <row r="6">
      <c r="A6" s="5" t="inlineStr">
        <is>
          <t>f001218</t>
        </is>
      </c>
      <c r="B6" s="5" t="n">
        <v>1060</v>
      </c>
      <c r="C6" s="5" t="n">
        <v>628</v>
      </c>
      <c r="D6" s="5" t="inlineStr">
        <is>
          <t>{9D56DBE7-1A09-4398-8622-73AF3113418C}</t>
        </is>
      </c>
      <c r="E6" s="5" t="inlineStr">
        <is>
          <t>Fairbanks</t>
        </is>
      </c>
      <c r="F6" s="5" t="inlineStr">
        <is>
          <t>community_name</t>
        </is>
      </c>
      <c r="G6" s="5" t="n">
        <v>64.51251999999999</v>
      </c>
      <c r="H6" s="5" t="n">
        <v>-165.4303</v>
      </c>
      <c r="I6" s="5" t="n"/>
      <c r="J6" s="5" t="n"/>
      <c r="K6" s="5" t="inlineStr">
        <is>
          <t>Fairbanks</t>
        </is>
      </c>
      <c r="L6" s="5" t="inlineStr">
        <is>
          <t>Nome</t>
        </is>
      </c>
      <c r="M6" s="5" t="inlineStr">
        <is>
          <t>medium</t>
        </is>
      </c>
      <c r="N6" s="6" t="inlineStr">
        <is>
          <t>Independent point (0.3 km from the nearest other-community site); 17 of 18 sites within 15 km are 'Nome'. Label probably names the operator's home community, not the site.</t>
        </is>
      </c>
      <c r="O6" s="5" t="inlineStr">
        <is>
          <t>unchanged</t>
        </is>
      </c>
      <c r="P6" s="5" t="n">
        <v>64.51251000000001</v>
      </c>
      <c r="Q6" s="5" t="n">
        <v>-165.4303</v>
      </c>
      <c r="R6" s="7">
        <f>HYPERLINK("https://www.google.com/maps?q=64.512520,-165.430300","map: stored")</f>
        <v/>
      </c>
      <c r="S6" s="2" t="inlineStr">
        <is>
          <t>(label change)</t>
        </is>
      </c>
      <c r="T6" s="8" t="n"/>
      <c r="U6" s="8" t="n"/>
      <c r="V6" s="8" t="n"/>
      <c r="W6" s="8" t="n"/>
      <c r="X6" s="8" t="n"/>
    </row>
    <row r="7">
      <c r="A7" s="5" t="inlineStr">
        <is>
          <t>f000732</t>
        </is>
      </c>
      <c r="B7" s="5" t="n">
        <v>104</v>
      </c>
      <c r="C7" s="5" t="n">
        <v>649</v>
      </c>
      <c r="D7" s="5" t="inlineStr">
        <is>
          <t>{BDC6AEBD-A6BF-4D0C-929B-36D15018837C}</t>
        </is>
      </c>
      <c r="E7" s="5" t="inlineStr">
        <is>
          <t>Fort Wainwright</t>
        </is>
      </c>
      <c r="F7" s="5" t="inlineStr">
        <is>
          <t>community_name</t>
        </is>
      </c>
      <c r="G7" s="5" t="n">
        <v>60.132528</v>
      </c>
      <c r="H7" s="5" t="n">
        <v>-149.433</v>
      </c>
      <c r="I7" s="5" t="n"/>
      <c r="J7" s="5" t="n"/>
      <c r="K7" s="5" t="inlineStr">
        <is>
          <t>Fort Wainwright</t>
        </is>
      </c>
      <c r="L7" s="5" t="inlineStr">
        <is>
          <t>Seward</t>
        </is>
      </c>
      <c r="M7" s="5" t="inlineStr">
        <is>
          <t>medium</t>
        </is>
      </c>
      <c r="N7" s="6" t="inlineStr">
        <is>
          <t>Independent point (0.2 km from the nearest other-community site); 12 of 12 sites within 15 km are 'Seward'. Label probably names the operator's home community, not the site.</t>
        </is>
      </c>
      <c r="O7" s="5" t="inlineStr">
        <is>
          <t>unchanged</t>
        </is>
      </c>
      <c r="P7" s="5" t="n">
        <v>60.13251</v>
      </c>
      <c r="Q7" s="5" t="n">
        <v>-149.43298</v>
      </c>
      <c r="R7" s="7">
        <f>HYPERLINK("https://www.google.com/maps?q=60.132528,-149.433000","map: stored")</f>
        <v/>
      </c>
      <c r="S7" s="2" t="inlineStr">
        <is>
          <t>(label change)</t>
        </is>
      </c>
      <c r="T7" s="8" t="n"/>
      <c r="U7" s="8" t="n"/>
      <c r="V7" s="8" t="n"/>
      <c r="W7" s="8" t="n"/>
      <c r="X7" s="8" t="n"/>
    </row>
    <row r="8">
      <c r="A8" s="5" t="inlineStr">
        <is>
          <t>f001585</t>
        </is>
      </c>
      <c r="B8" s="5" t="n">
        <v>797</v>
      </c>
      <c r="C8" s="5" t="n">
        <v>955</v>
      </c>
      <c r="D8" s="5" t="inlineStr">
        <is>
          <t>{BFF9DB9E-CA56-440D-B966-058492E9DF73}</t>
        </is>
      </c>
      <c r="E8" s="5" t="inlineStr">
        <is>
          <t>Ketchikan</t>
        </is>
      </c>
      <c r="F8" s="5" t="inlineStr">
        <is>
          <t>community_name</t>
        </is>
      </c>
      <c r="G8" s="5" t="n">
        <v>58.37542</v>
      </c>
      <c r="H8" s="5" t="n">
        <v>-134.574986</v>
      </c>
      <c r="I8" s="5" t="n"/>
      <c r="J8" s="5" t="n"/>
      <c r="K8" s="5" t="inlineStr">
        <is>
          <t>Ketchikan</t>
        </is>
      </c>
      <c r="L8" s="5" t="inlineStr">
        <is>
          <t>Juneau</t>
        </is>
      </c>
      <c r="M8" s="5" t="inlineStr">
        <is>
          <t>medium</t>
        </is>
      </c>
      <c r="N8" s="6" t="inlineStr">
        <is>
          <t>Independent point (1.0 km from the nearest other-community site); 27 of 27 sites within 15 km are 'Juneau'. Label probably names the operator's home community, not the site.</t>
        </is>
      </c>
      <c r="O8" s="5" t="inlineStr">
        <is>
          <t>unchanged</t>
        </is>
      </c>
      <c r="P8" s="5" t="n">
        <v>58.37549</v>
      </c>
      <c r="Q8" s="5" t="n">
        <v>-134.57501</v>
      </c>
      <c r="R8" s="7">
        <f>HYPERLINK("https://www.google.com/maps?q=58.375420,-134.574986","map: stored")</f>
        <v/>
      </c>
      <c r="S8" s="2" t="inlineStr">
        <is>
          <t>(label change)</t>
        </is>
      </c>
      <c r="T8" s="8" t="n"/>
      <c r="U8" s="8" t="n"/>
      <c r="V8" s="8" t="n"/>
      <c r="W8" s="8" t="n"/>
      <c r="X8" s="8" t="n"/>
    </row>
    <row r="9">
      <c r="A9" s="5" t="inlineStr">
        <is>
          <t>f000358</t>
        </is>
      </c>
      <c r="B9" s="5" t="n">
        <v>898</v>
      </c>
      <c r="C9" s="5" t="n">
        <v>972</v>
      </c>
      <c r="D9" s="5" t="inlineStr">
        <is>
          <t>{BACAEA02-40B4-467A-B3B9-39C3197CF50D}</t>
        </is>
      </c>
      <c r="E9" s="5" t="inlineStr">
        <is>
          <t>King Cove</t>
        </is>
      </c>
      <c r="F9" s="5" t="inlineStr">
        <is>
          <t>community_name</t>
        </is>
      </c>
      <c r="G9" s="5" t="n">
        <v>58.683749</v>
      </c>
      <c r="H9" s="5" t="n">
        <v>-156.672126</v>
      </c>
      <c r="I9" s="5" t="n"/>
      <c r="J9" s="5" t="n"/>
      <c r="K9" s="5" t="inlineStr">
        <is>
          <t>King Cove</t>
        </is>
      </c>
      <c r="L9" s="5" t="inlineStr">
        <is>
          <t>King Salmon</t>
        </is>
      </c>
      <c r="M9" s="5" t="inlineStr">
        <is>
          <t>medium</t>
        </is>
      </c>
      <c r="N9" s="6" t="inlineStr">
        <is>
          <t>Independent point (0.1 km from the nearest other-community site); 7 of 7 sites within 15 km are 'King Salmon'. Label probably names the operator's home community, not the site.</t>
        </is>
      </c>
      <c r="O9" s="5" t="inlineStr">
        <is>
          <t>unchanged</t>
        </is>
      </c>
      <c r="P9" s="5" t="n">
        <v>58.6839</v>
      </c>
      <c r="Q9" s="5" t="n">
        <v>-156.67212</v>
      </c>
      <c r="R9" s="7">
        <f>HYPERLINK("https://www.google.com/maps?q=58.683749,-156.672126","map: stored")</f>
        <v/>
      </c>
      <c r="S9" s="2" t="inlineStr">
        <is>
          <t>(label change)</t>
        </is>
      </c>
      <c r="T9" s="8" t="n"/>
      <c r="U9" s="8" t="n"/>
      <c r="V9" s="8" t="n"/>
      <c r="W9" s="8" t="n"/>
      <c r="X9" s="8" t="n"/>
    </row>
    <row r="10">
      <c r="A10" s="5" t="inlineStr">
        <is>
          <t>f001399</t>
        </is>
      </c>
      <c r="B10" s="5" t="n">
        <v>1858</v>
      </c>
      <c r="C10" s="5" t="n">
        <v>1643</v>
      </c>
      <c r="D10" s="5" t="inlineStr">
        <is>
          <t>{EE49D47C-9B92-431B-9D0B-77844BA21CF8}</t>
        </is>
      </c>
      <c r="E10" s="5" t="inlineStr">
        <is>
          <t>Stevens Village</t>
        </is>
      </c>
      <c r="F10" s="5" t="inlineStr">
        <is>
          <t>community_name</t>
        </is>
      </c>
      <c r="G10" s="5" t="n">
        <v>68.12838600000001</v>
      </c>
      <c r="H10" s="5" t="n">
        <v>-145.535502</v>
      </c>
      <c r="I10" s="5" t="n"/>
      <c r="J10" s="5" t="n"/>
      <c r="K10" s="5" t="inlineStr">
        <is>
          <t>Stevens Village</t>
        </is>
      </c>
      <c r="L10" s="5" t="inlineStr">
        <is>
          <t>Arctic Village</t>
        </is>
      </c>
      <c r="M10" s="5" t="inlineStr">
        <is>
          <t>medium</t>
        </is>
      </c>
      <c r="N10" s="6" t="inlineStr">
        <is>
          <t>Independent point (0.1 km from the nearest other-community site); 6 of 6 sites within 15 km are 'Arctic Village'. Label probably names the operator's home community, not the site.</t>
        </is>
      </c>
      <c r="O10" s="5" t="inlineStr">
        <is>
          <t>unchanged</t>
        </is>
      </c>
      <c r="P10" s="5" t="n">
        <v>68.12848</v>
      </c>
      <c r="Q10" s="5" t="n">
        <v>-145.53552</v>
      </c>
      <c r="R10" s="7">
        <f>HYPERLINK("https://www.google.com/maps?q=68.128386,-145.535502","map: stored")</f>
        <v/>
      </c>
      <c r="S10" s="2" t="inlineStr">
        <is>
          <t>(label change)</t>
        </is>
      </c>
      <c r="T10" s="8" t="n"/>
      <c r="U10" s="8" t="n"/>
      <c r="V10" s="8" t="n"/>
      <c r="W10" s="8" t="n"/>
      <c r="X10" s="8" t="n"/>
    </row>
  </sheetData>
  <autoFilter ref="A1:X10"/>
  <dataValidations count="1">
    <dataValidation sqref="T2:T10" showDropDown="0" showInputMessage="0" showErrorMessage="0" allowBlank="1" type="list">
      <formula1>"approve,approve with my value,reject,ask AEA,skip for now"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14" customWidth="1" min="13" max="13"/>
    <col width="70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0" customWidth="1" min="22" max="22"/>
    <col width="14" customWidth="1" min="23" max="23"/>
    <col width="14" customWidth="1" min="24" max="24"/>
  </cols>
  <sheetData>
    <row r="1">
      <c r="A1" s="4" t="inlineStr">
        <is>
          <t>facility_pid</t>
        </is>
      </c>
      <c r="B1" s="4" t="inlineStr">
        <is>
          <t>facility_id</t>
        </is>
      </c>
      <c r="C1" s="4" t="inlineStr">
        <is>
          <t>csv_row</t>
        </is>
      </c>
      <c r="D1" s="4" t="inlineStr">
        <is>
          <t>GlobalID</t>
        </is>
      </c>
      <c r="E1" s="4" t="inlineStr">
        <is>
          <t>label</t>
        </is>
      </c>
      <c r="F1" s="4" t="inlineStr">
        <is>
          <t>field</t>
        </is>
      </c>
      <c r="G1" s="4" t="inlineStr">
        <is>
          <t>current_lat</t>
        </is>
      </c>
      <c r="H1" s="4" t="inlineStr">
        <is>
          <t>current_lon</t>
        </is>
      </c>
      <c r="I1" s="4" t="inlineStr">
        <is>
          <t>proposed_lat</t>
        </is>
      </c>
      <c r="J1" s="4" t="inlineStr">
        <is>
          <t>proposed_lon</t>
        </is>
      </c>
      <c r="K1" s="4" t="inlineStr">
        <is>
          <t>current_value</t>
        </is>
      </c>
      <c r="L1" s="4" t="inlineStr">
        <is>
          <t>proposed_value</t>
        </is>
      </c>
      <c r="M1" s="4" t="inlineStr">
        <is>
          <t>confidence</t>
        </is>
      </c>
      <c r="N1" s="4" t="inlineStr">
        <is>
          <t>evidence</t>
        </is>
      </c>
      <c r="O1" s="4" t="inlineStr">
        <is>
          <t>aea_2025_status</t>
        </is>
      </c>
      <c r="P1" s="4" t="inlineStr">
        <is>
          <t>aea_2025_map_lat</t>
        </is>
      </c>
      <c r="Q1" s="4" t="inlineStr">
        <is>
          <t>aea_2025_map_lon</t>
        </is>
      </c>
      <c r="R1" s="4" t="inlineStr">
        <is>
          <t>map: stored</t>
        </is>
      </c>
      <c r="S1" s="4" t="inlineStr">
        <is>
          <t>map: proposed</t>
        </is>
      </c>
      <c r="T1" s="4" t="inlineStr">
        <is>
          <t>decision</t>
        </is>
      </c>
      <c r="U1" s="4" t="inlineStr">
        <is>
          <t>your_value</t>
        </is>
      </c>
      <c r="V1" s="4" t="inlineStr">
        <is>
          <t>notes</t>
        </is>
      </c>
      <c r="W1" s="4" t="inlineStr">
        <is>
          <t>reviewed_by</t>
        </is>
      </c>
      <c r="X1" s="4" t="inlineStr">
        <is>
          <t>reviewed_on</t>
        </is>
      </c>
    </row>
    <row r="2">
      <c r="A2" s="5" t="inlineStr">
        <is>
          <t>f001469</t>
        </is>
      </c>
      <c r="B2" s="5" t="n">
        <v>902</v>
      </c>
      <c r="C2" s="5" t="n">
        <v>935</v>
      </c>
      <c r="D2" s="5" t="inlineStr">
        <is>
          <t>{835A9532-B50F-4307-8766-44E644F988D9}</t>
        </is>
      </c>
      <c r="E2" s="5" t="inlineStr">
        <is>
          <t>Kenai</t>
        </is>
      </c>
      <c r="F2" s="5" t="inlineStr">
        <is>
          <t>latitude;longitude</t>
        </is>
      </c>
      <c r="G2" s="5" t="n">
        <v>64.856066</v>
      </c>
      <c r="H2" s="5" t="n">
        <v>-147.802751</v>
      </c>
      <c r="I2" s="5" t="n">
        <v>60.58319</v>
      </c>
      <c r="J2" s="5" t="n">
        <v>-151.30288</v>
      </c>
      <c r="K2" s="5" t="inlineStr">
        <is>
          <t>64.856066,-147.802751</t>
        </is>
      </c>
      <c r="L2" s="5" t="inlineStr">
        <is>
          <t>60.58319,-151.30288</t>
        </is>
      </c>
      <c r="M2" s="5" t="inlineStr">
        <is>
          <t>medium</t>
        </is>
      </c>
      <c r="N2" s="6" t="inlineStr">
        <is>
          <t>Point duplicates a 'Fairbanks' site within 13 m (copied coordinates); CommunityID agrees with label 'Kenai'. Proposed = medoid of the other 15 'Kenai' sites (community-level precision).</t>
        </is>
      </c>
      <c r="O2" s="5" t="inlineStr">
        <is>
          <t>unchanged</t>
        </is>
      </c>
      <c r="P2" s="5" t="n">
        <v>64.85608000000001</v>
      </c>
      <c r="Q2" s="5" t="n">
        <v>-147.80261</v>
      </c>
      <c r="R2" s="7">
        <f>HYPERLINK("https://www.google.com/maps?q=64.856066,-147.802751","map: stored")</f>
        <v/>
      </c>
      <c r="S2" s="7">
        <f>HYPERLINK("https://www.google.com/maps?q=60.583190,-151.302880","map: proposed")</f>
        <v/>
      </c>
      <c r="T2" s="8" t="n"/>
      <c r="U2" s="8" t="n"/>
      <c r="V2" s="8" t="n"/>
      <c r="W2" s="8" t="n"/>
      <c r="X2" s="8" t="n"/>
    </row>
    <row r="3">
      <c r="A3" s="5" t="inlineStr">
        <is>
          <t>f000292</t>
        </is>
      </c>
      <c r="B3" s="5" t="n">
        <v>1595</v>
      </c>
      <c r="C3" s="5" t="n">
        <v>1006</v>
      </c>
      <c r="D3" s="5" t="inlineStr">
        <is>
          <t>{6D4B4A33-4BA6-4F24-B682-8F598BC19947}</t>
        </is>
      </c>
      <c r="E3" s="5" t="inlineStr">
        <is>
          <t>Klawock</t>
        </is>
      </c>
      <c r="F3" s="5" t="inlineStr">
        <is>
          <t>latitude;longitude</t>
        </is>
      </c>
      <c r="G3" s="5" t="n">
        <v>66.549243</v>
      </c>
      <c r="H3" s="5" t="n">
        <v>-152.632721</v>
      </c>
      <c r="I3" s="5" t="n">
        <v>55.55317</v>
      </c>
      <c r="J3" s="5" t="n">
        <v>-133.08533</v>
      </c>
      <c r="K3" s="5" t="inlineStr">
        <is>
          <t>66.54924307,-152.63272144</t>
        </is>
      </c>
      <c r="L3" s="5" t="inlineStr">
        <is>
          <t>55.55317,-133.08533</t>
        </is>
      </c>
      <c r="M3" s="5" t="inlineStr">
        <is>
          <t>medium</t>
        </is>
      </c>
      <c r="N3" s="6" t="inlineStr">
        <is>
          <t>Point duplicates a 'Allakaket' site within 7 m (copied coordinates); CommunityID agrees with label 'Klawock'. Proposed = medoid of the other 7 'Klawock' sites (community-level precision).</t>
        </is>
      </c>
      <c r="O3" s="5" t="inlineStr">
        <is>
          <t>unchanged</t>
        </is>
      </c>
      <c r="P3" s="5" t="n">
        <v>66.54931999999999</v>
      </c>
      <c r="Q3" s="5" t="n">
        <v>-152.63269</v>
      </c>
      <c r="R3" s="7">
        <f>HYPERLINK("https://www.google.com/maps?q=66.549243,-152.632721","map: stored")</f>
        <v/>
      </c>
      <c r="S3" s="7">
        <f>HYPERLINK("https://www.google.com/maps?q=55.553170,-133.085330","map: proposed")</f>
        <v/>
      </c>
      <c r="T3" s="8" t="n"/>
      <c r="U3" s="8" t="n"/>
      <c r="V3" s="8" t="n"/>
      <c r="W3" s="8" t="n"/>
      <c r="X3" s="8" t="n"/>
    </row>
    <row r="4">
      <c r="A4" s="5" t="inlineStr">
        <is>
          <t>f000129</t>
        </is>
      </c>
      <c r="B4" s="5" t="n">
        <v>1671</v>
      </c>
      <c r="C4" s="5" t="n">
        <v>1218</v>
      </c>
      <c r="D4" s="5" t="inlineStr">
        <is>
          <t>{FE1C1D96-F623-4694-ADA9-82D02F405415}</t>
        </is>
      </c>
      <c r="E4" s="5" t="inlineStr">
        <is>
          <t>Newtok</t>
        </is>
      </c>
      <c r="F4" s="5" t="inlineStr">
        <is>
          <t>latitude;longitude</t>
        </is>
      </c>
      <c r="G4" s="5" t="n">
        <v>59.934137</v>
      </c>
      <c r="H4" s="5" t="n">
        <v>-164.038194</v>
      </c>
      <c r="I4" s="5" t="n">
        <v>60.94047</v>
      </c>
      <c r="J4" s="5" t="n">
        <v>-164.63101</v>
      </c>
      <c r="K4" s="5" t="inlineStr">
        <is>
          <t>59.93413657,-164.03819378</t>
        </is>
      </c>
      <c r="L4" s="5" t="inlineStr">
        <is>
          <t>60.94047,-164.63101</t>
        </is>
      </c>
      <c r="M4" s="5" t="inlineStr">
        <is>
          <t>medium</t>
        </is>
      </c>
      <c r="N4" s="6" t="inlineStr">
        <is>
          <t>Point duplicates a 'Kipnuk' site within 14 m (copied coordinates); CommunityID agrees with label 'Newtok'. Proposed = medoid of the other 5 'Newtok' sites (community-level precision).</t>
        </is>
      </c>
      <c r="O4" s="5" t="inlineStr">
        <is>
          <t>unchanged</t>
        </is>
      </c>
      <c r="P4" s="5" t="n">
        <v>59.93408</v>
      </c>
      <c r="Q4" s="5" t="n">
        <v>-164.03821</v>
      </c>
      <c r="R4" s="7">
        <f>HYPERLINK("https://www.google.com/maps?q=59.934137,-164.038194","map: stored")</f>
        <v/>
      </c>
      <c r="S4" s="7">
        <f>HYPERLINK("https://www.google.com/maps?q=60.940470,-164.631010","map: proposed")</f>
        <v/>
      </c>
      <c r="T4" s="8" t="n"/>
      <c r="U4" s="8" t="n"/>
      <c r="V4" s="8" t="n"/>
      <c r="W4" s="8" t="n"/>
      <c r="X4" s="8" t="n"/>
    </row>
    <row r="5">
      <c r="A5" s="5" t="inlineStr">
        <is>
          <t>f001579</t>
        </is>
      </c>
      <c r="B5" s="5" t="n">
        <v>1692</v>
      </c>
      <c r="C5" s="5" t="n">
        <v>1273</v>
      </c>
      <c r="D5" s="5" t="inlineStr">
        <is>
          <t>{056D0E34-0F8F-4089-8FD4-38E6687C1E94}</t>
        </is>
      </c>
      <c r="E5" s="5" t="inlineStr">
        <is>
          <t>Noorvik</t>
        </is>
      </c>
      <c r="F5" s="5" t="inlineStr">
        <is>
          <t>latitude;longitude</t>
        </is>
      </c>
      <c r="G5" s="5" t="n">
        <v>64.322902</v>
      </c>
      <c r="H5" s="5" t="n">
        <v>-158.724053</v>
      </c>
      <c r="I5" s="5" t="n">
        <v>66.83374999999999</v>
      </c>
      <c r="J5" s="5" t="n">
        <v>-161.039</v>
      </c>
      <c r="K5" s="5" t="inlineStr">
        <is>
          <t>64.32290209,-158.72405346</t>
        </is>
      </c>
      <c r="L5" s="5" t="inlineStr">
        <is>
          <t>66.83375,-161.039</t>
        </is>
      </c>
      <c r="M5" s="5" t="inlineStr">
        <is>
          <t>medium</t>
        </is>
      </c>
      <c r="N5" s="6" t="inlineStr">
        <is>
          <t>Point duplicates a 'Kaltag' site within 28 m (copied coordinates); CommunityID agrees with label 'Noorvik'. Proposed = medoid of the other 8 'Noorvik' sites (community-level precision).</t>
        </is>
      </c>
      <c r="O5" s="5" t="inlineStr">
        <is>
          <t>unchanged</t>
        </is>
      </c>
      <c r="P5" s="5" t="n">
        <v>64.32288</v>
      </c>
      <c r="Q5" s="5" t="n">
        <v>-158.724</v>
      </c>
      <c r="R5" s="7">
        <f>HYPERLINK("https://www.google.com/maps?q=64.322902,-158.724053","map: stored")</f>
        <v/>
      </c>
      <c r="S5" s="7">
        <f>HYPERLINK("https://www.google.com/maps?q=66.833750,-161.039000","map: proposed")</f>
        <v/>
      </c>
      <c r="T5" s="8" t="n"/>
      <c r="U5" s="8" t="n"/>
      <c r="V5" s="8" t="n"/>
      <c r="W5" s="8" t="n"/>
      <c r="X5" s="8" t="n"/>
    </row>
  </sheetData>
  <autoFilter ref="A1:X5"/>
  <dataValidations count="1">
    <dataValidation sqref="T2:T5" showDropDown="0" showInputMessage="0" showErrorMessage="0" allowBlank="1" type="list">
      <formula1>"approve,approve with my value,reject,ask AEA,skip for now"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14" customWidth="1" min="13" max="13"/>
    <col width="70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0" customWidth="1" min="22" max="22"/>
    <col width="14" customWidth="1" min="23" max="23"/>
    <col width="14" customWidth="1" min="24" max="24"/>
  </cols>
  <sheetData>
    <row r="1">
      <c r="A1" s="4" t="inlineStr">
        <is>
          <t>facility_pid</t>
        </is>
      </c>
      <c r="B1" s="4" t="inlineStr">
        <is>
          <t>facility_id</t>
        </is>
      </c>
      <c r="C1" s="4" t="inlineStr">
        <is>
          <t>csv_row</t>
        </is>
      </c>
      <c r="D1" s="4" t="inlineStr">
        <is>
          <t>GlobalID</t>
        </is>
      </c>
      <c r="E1" s="4" t="inlineStr">
        <is>
          <t>label</t>
        </is>
      </c>
      <c r="F1" s="4" t="inlineStr">
        <is>
          <t>field</t>
        </is>
      </c>
      <c r="G1" s="4" t="inlineStr">
        <is>
          <t>current_lat</t>
        </is>
      </c>
      <c r="H1" s="4" t="inlineStr">
        <is>
          <t>current_lon</t>
        </is>
      </c>
      <c r="I1" s="4" t="inlineStr">
        <is>
          <t>proposed_lat</t>
        </is>
      </c>
      <c r="J1" s="4" t="inlineStr">
        <is>
          <t>proposed_lon</t>
        </is>
      </c>
      <c r="K1" s="4" t="inlineStr">
        <is>
          <t>current_value</t>
        </is>
      </c>
      <c r="L1" s="4" t="inlineStr">
        <is>
          <t>proposed_value</t>
        </is>
      </c>
      <c r="M1" s="4" t="inlineStr">
        <is>
          <t>confidence</t>
        </is>
      </c>
      <c r="N1" s="4" t="inlineStr">
        <is>
          <t>evidence</t>
        </is>
      </c>
      <c r="O1" s="4" t="inlineStr">
        <is>
          <t>aea_2025_status</t>
        </is>
      </c>
      <c r="P1" s="4" t="inlineStr">
        <is>
          <t>aea_2025_map_lat</t>
        </is>
      </c>
      <c r="Q1" s="4" t="inlineStr">
        <is>
          <t>aea_2025_map_lon</t>
        </is>
      </c>
      <c r="R1" s="4" t="inlineStr">
        <is>
          <t>map: stored</t>
        </is>
      </c>
      <c r="S1" s="4" t="inlineStr">
        <is>
          <t>map: proposed</t>
        </is>
      </c>
      <c r="T1" s="4" t="inlineStr">
        <is>
          <t>decision</t>
        </is>
      </c>
      <c r="U1" s="4" t="inlineStr">
        <is>
          <t>your_value</t>
        </is>
      </c>
      <c r="V1" s="4" t="inlineStr">
        <is>
          <t>notes</t>
        </is>
      </c>
      <c r="W1" s="4" t="inlineStr">
        <is>
          <t>reviewed_by</t>
        </is>
      </c>
      <c r="X1" s="4" t="inlineStr">
        <is>
          <t>reviewed_on</t>
        </is>
      </c>
    </row>
    <row r="2">
      <c r="A2" s="5" t="inlineStr">
        <is>
          <t>f000719</t>
        </is>
      </c>
      <c r="B2" s="5" t="n">
        <v>445</v>
      </c>
      <c r="C2" s="5" t="n">
        <v>1516</v>
      </c>
      <c r="D2" s="5" t="inlineStr">
        <is>
          <t>{EF7B6BA1-2FF6-404A-9A5F-01A83B09D969}</t>
        </is>
      </c>
      <c r="E2" s="5" t="inlineStr">
        <is>
          <t>Sand Point</t>
        </is>
      </c>
      <c r="F2" s="5" t="inlineStr">
        <is>
          <t>latitude;longitude</t>
        </is>
      </c>
      <c r="G2" s="5" t="n">
        <v>53.896944</v>
      </c>
      <c r="H2" s="5" t="n">
        <v>-166.54</v>
      </c>
      <c r="I2" s="5" t="n">
        <v>55.34522</v>
      </c>
      <c r="J2" s="5" t="n">
        <v>-160.48963</v>
      </c>
      <c r="K2" s="5" t="inlineStr">
        <is>
          <t>53.896944,-166.54</t>
        </is>
      </c>
      <c r="L2" s="5" t="inlineStr">
        <is>
          <t>55.34522,-160.48963</t>
        </is>
      </c>
      <c r="M2" s="5" t="inlineStr">
        <is>
          <t>medium</t>
        </is>
      </c>
      <c r="N2" s="6" t="inlineStr">
        <is>
          <t>Exact point shared with facilities of ['Dutch Harbor']; the build merges the stack into ONE site labelled by the first CSV row (consolidate_facilities). Proposed = medoid of own-label sites.</t>
        </is>
      </c>
      <c r="O2" s="5" t="inlineStr">
        <is>
          <t>unchanged</t>
        </is>
      </c>
      <c r="P2" s="5" t="n">
        <v>53.89709</v>
      </c>
      <c r="Q2" s="5" t="n">
        <v>-166.53998</v>
      </c>
      <c r="R2" s="7">
        <f>HYPERLINK("https://www.google.com/maps?q=53.896944,-166.540000","map: stored")</f>
        <v/>
      </c>
      <c r="S2" s="7">
        <f>HYPERLINK("https://www.google.com/maps?q=55.345220,-160.489630","map: proposed")</f>
        <v/>
      </c>
      <c r="T2" s="8" t="n"/>
      <c r="U2" s="8" t="n"/>
      <c r="V2" s="8" t="n"/>
      <c r="W2" s="8" t="n"/>
      <c r="X2" s="8" t="n"/>
    </row>
    <row r="3">
      <c r="A3" s="5" t="inlineStr">
        <is>
          <t>f001250</t>
        </is>
      </c>
      <c r="B3" s="5" t="n">
        <v>1680</v>
      </c>
      <c r="C3" s="5" t="n">
        <v>1228</v>
      </c>
      <c r="D3" s="5" t="inlineStr">
        <is>
          <t>{39943186-EB34-4A7C-B510-E1F60F6E5B77}</t>
        </is>
      </c>
      <c r="E3" s="5" t="inlineStr">
        <is>
          <t>Nightmute</t>
        </is>
      </c>
      <c r="F3" s="5" t="inlineStr">
        <is>
          <t>latitude;longitude</t>
        </is>
      </c>
      <c r="G3" s="5" t="n">
        <v>59.755523</v>
      </c>
      <c r="H3" s="5" t="n">
        <v>-154.902174</v>
      </c>
      <c r="I3" s="5" t="n">
        <v>60.47936</v>
      </c>
      <c r="J3" s="5" t="n">
        <v>-164.72564</v>
      </c>
      <c r="K3" s="5" t="inlineStr">
        <is>
          <t>59.75552294,-154.90217449</t>
        </is>
      </c>
      <c r="L3" s="5" t="inlineStr">
        <is>
          <t>60.47936,-164.72564</t>
        </is>
      </c>
      <c r="M3" s="5" t="inlineStr">
        <is>
          <t>medium</t>
        </is>
      </c>
      <c r="N3" s="6" t="inlineStr">
        <is>
          <t>Exact point shared with facilities of ['Perryville']; the build merges the stack into ONE site labelled by the first CSV row (consolidate_facilities). Proposed = medoid of own-label sites.</t>
        </is>
      </c>
      <c r="O3" s="5" t="inlineStr">
        <is>
          <t>unchanged</t>
        </is>
      </c>
      <c r="P3" s="5" t="n">
        <v>59.75549</v>
      </c>
      <c r="Q3" s="5" t="n">
        <v>-154.9021</v>
      </c>
      <c r="R3" s="7">
        <f>HYPERLINK("https://www.google.com/maps?q=59.755523,-154.902174","map: stored")</f>
        <v/>
      </c>
      <c r="S3" s="7">
        <f>HYPERLINK("https://www.google.com/maps?q=60.479360,-164.725640","map: proposed")</f>
        <v/>
      </c>
      <c r="T3" s="8" t="n"/>
      <c r="U3" s="8" t="n"/>
      <c r="V3" s="8" t="n"/>
      <c r="W3" s="8" t="n"/>
      <c r="X3" s="8" t="n"/>
    </row>
    <row r="4">
      <c r="A4" s="5" t="inlineStr">
        <is>
          <t>f000632</t>
        </is>
      </c>
      <c r="B4" s="5" t="n">
        <v>1733</v>
      </c>
      <c r="C4" s="5" t="n">
        <v>1362</v>
      </c>
      <c r="D4" s="5" t="inlineStr">
        <is>
          <t>{4533136B-B178-4EEB-8F4E-1BBF21C03ABE}</t>
        </is>
      </c>
      <c r="E4" s="5" t="inlineStr">
        <is>
          <t>Perryville</t>
        </is>
      </c>
      <c r="F4" s="5" t="inlineStr">
        <is>
          <t>latitude;longitude</t>
        </is>
      </c>
      <c r="G4" s="5" t="n">
        <v>59.755523</v>
      </c>
      <c r="H4" s="5" t="n">
        <v>-154.902174</v>
      </c>
      <c r="I4" s="5" t="n">
        <v>55.91043</v>
      </c>
      <c r="J4" s="5" t="n">
        <v>-159.14614</v>
      </c>
      <c r="K4" s="5" t="inlineStr">
        <is>
          <t>59.75552294,-154.90217449</t>
        </is>
      </c>
      <c r="L4" s="5" t="inlineStr">
        <is>
          <t>55.91043,-159.14614</t>
        </is>
      </c>
      <c r="M4" s="5" t="inlineStr">
        <is>
          <t>medium</t>
        </is>
      </c>
      <c r="N4" s="6" t="inlineStr">
        <is>
          <t>Exact point shared with facilities of ['Nightmute']; the build merges the stack into ONE site labelled by the first CSV row (consolidate_facilities). Proposed = medoid of own-label sites.</t>
        </is>
      </c>
      <c r="O4" s="5" t="inlineStr">
        <is>
          <t>unchanged</t>
        </is>
      </c>
      <c r="P4" s="5" t="n">
        <v>59.75549</v>
      </c>
      <c r="Q4" s="5" t="n">
        <v>-154.9021</v>
      </c>
      <c r="R4" s="7">
        <f>HYPERLINK("https://www.google.com/maps?q=59.755523,-154.902174","map: stored")</f>
        <v/>
      </c>
      <c r="S4" s="7">
        <f>HYPERLINK("https://www.google.com/maps?q=55.910430,-159.146140","map: proposed")</f>
        <v/>
      </c>
      <c r="T4" s="8" t="n"/>
      <c r="U4" s="8" t="n"/>
      <c r="V4" s="8" t="n"/>
      <c r="W4" s="8" t="n"/>
      <c r="X4" s="8" t="n"/>
    </row>
    <row r="5">
      <c r="A5" s="5" t="inlineStr">
        <is>
          <t>f000950</t>
        </is>
      </c>
      <c r="B5" s="5" t="n">
        <v>1654</v>
      </c>
      <c r="C5" s="5" t="n">
        <v>1189</v>
      </c>
      <c r="D5" s="5" t="inlineStr">
        <is>
          <t>{E8C7FE98-2833-47DB-A566-8D25750D48D2}</t>
        </is>
      </c>
      <c r="E5" s="5" t="inlineStr">
        <is>
          <t>Napakiak</t>
        </is>
      </c>
      <c r="F5" s="5" t="inlineStr">
        <is>
          <t>latitude;longitude</t>
        </is>
      </c>
      <c r="G5" s="5" t="n">
        <v>60.81077</v>
      </c>
      <c r="H5" s="5" t="n">
        <v>-161.422558</v>
      </c>
      <c r="I5" s="5" t="n">
        <v>60.69617</v>
      </c>
      <c r="J5" s="5" t="n">
        <v>-161.98203</v>
      </c>
      <c r="K5" s="5" t="inlineStr">
        <is>
          <t>60.8107704,-161.42255776</t>
        </is>
      </c>
      <c r="L5" s="5" t="inlineStr">
        <is>
          <t>60.69617,-161.98203</t>
        </is>
      </c>
      <c r="M5" s="5" t="inlineStr">
        <is>
          <t>medium</t>
        </is>
      </c>
      <c r="N5" s="6" t="inlineStr">
        <is>
          <t>Exact point shared with facilities of ['Toksook Bay']; the build merges the stack into ONE site labelled by the first CSV row (consolidate_facilities). Proposed = medoid of own-label sites.</t>
        </is>
      </c>
      <c r="O5" s="5" t="inlineStr">
        <is>
          <t>unchanged</t>
        </is>
      </c>
      <c r="P5" s="5" t="n">
        <v>60.81091</v>
      </c>
      <c r="Q5" s="5" t="n">
        <v>-161.42249</v>
      </c>
      <c r="R5" s="7">
        <f>HYPERLINK("https://www.google.com/maps?q=60.810770,-161.422558","map: stored")</f>
        <v/>
      </c>
      <c r="S5" s="7">
        <f>HYPERLINK("https://www.google.com/maps?q=60.696170,-161.982030","map: proposed")</f>
        <v/>
      </c>
      <c r="T5" s="8" t="n"/>
      <c r="U5" s="8" t="n"/>
      <c r="V5" s="8" t="n"/>
      <c r="W5" s="8" t="n"/>
      <c r="X5" s="8" t="n"/>
    </row>
    <row r="6">
      <c r="A6" s="5" t="inlineStr">
        <is>
          <t>f000140</t>
        </is>
      </c>
      <c r="B6" s="5" t="n">
        <v>1893</v>
      </c>
      <c r="C6" s="5" t="n">
        <v>1713</v>
      </c>
      <c r="D6" s="5" t="inlineStr">
        <is>
          <t>{83F3B425-DC65-4A0B-94B5-14D3D08E5901}</t>
        </is>
      </c>
      <c r="E6" s="5" t="inlineStr">
        <is>
          <t>Toksook Bay</t>
        </is>
      </c>
      <c r="F6" s="5" t="inlineStr">
        <is>
          <t>latitude;longitude</t>
        </is>
      </c>
      <c r="G6" s="5" t="n">
        <v>60.81077</v>
      </c>
      <c r="H6" s="5" t="n">
        <v>-161.422558</v>
      </c>
      <c r="I6" s="5" t="n">
        <v>60.52867</v>
      </c>
      <c r="J6" s="5" t="n">
        <v>-165.10579</v>
      </c>
      <c r="K6" s="5" t="inlineStr">
        <is>
          <t>60.8107704,-161.42255776</t>
        </is>
      </c>
      <c r="L6" s="5" t="inlineStr">
        <is>
          <t>60.52867,-165.10579</t>
        </is>
      </c>
      <c r="M6" s="5" t="inlineStr">
        <is>
          <t>medium</t>
        </is>
      </c>
      <c r="N6" s="6" t="inlineStr">
        <is>
          <t>Exact point shared with facilities of ['Napakiak']; the build merges the stack into ONE site labelled by the first CSV row (consolidate_facilities). Proposed = medoid of own-label sites.</t>
        </is>
      </c>
      <c r="O6" s="5" t="inlineStr">
        <is>
          <t>unchanged</t>
        </is>
      </c>
      <c r="P6" s="5" t="n">
        <v>60.81091</v>
      </c>
      <c r="Q6" s="5" t="n">
        <v>-161.42249</v>
      </c>
      <c r="R6" s="7">
        <f>HYPERLINK("https://www.google.com/maps?q=60.810770,-161.422558","map: stored")</f>
        <v/>
      </c>
      <c r="S6" s="7">
        <f>HYPERLINK("https://www.google.com/maps?q=60.528670,-165.105790","map: proposed")</f>
        <v/>
      </c>
      <c r="T6" s="8" t="n"/>
      <c r="U6" s="8" t="n"/>
      <c r="V6" s="8" t="n"/>
      <c r="W6" s="8" t="n"/>
      <c r="X6" s="8" t="n"/>
    </row>
    <row r="7">
      <c r="A7" s="5" t="inlineStr">
        <is>
          <t>f001269</t>
        </is>
      </c>
      <c r="B7" s="5" t="n">
        <v>1372</v>
      </c>
      <c r="C7" s="5" t="n">
        <v>376</v>
      </c>
      <c r="D7" s="5" t="inlineStr">
        <is>
          <t>{5C01B036-AAC1-4876-BF5E-30428802A639}</t>
        </is>
      </c>
      <c r="E7" s="5" t="inlineStr">
        <is>
          <t>Chefornak</t>
        </is>
      </c>
      <c r="F7" s="5" t="inlineStr">
        <is>
          <t>latitude;longitude</t>
        </is>
      </c>
      <c r="G7" s="5" t="n">
        <v>60.856858</v>
      </c>
      <c r="H7" s="5" t="n">
        <v>-162.276528</v>
      </c>
      <c r="I7" s="5" t="n">
        <v>60.15795</v>
      </c>
      <c r="J7" s="5" t="n">
        <v>-164.2801</v>
      </c>
      <c r="K7" s="5" t="inlineStr">
        <is>
          <t>60.85685837,-162.27652783</t>
        </is>
      </c>
      <c r="L7" s="5" t="inlineStr">
        <is>
          <t>60.15795,-164.2801</t>
        </is>
      </c>
      <c r="M7" s="5" t="inlineStr">
        <is>
          <t>medium</t>
        </is>
      </c>
      <c r="N7" s="6" t="inlineStr">
        <is>
          <t>Exact point shared with facilities of ['Kipnuk', 'Nightmute', 'Tuntutuliak', 'Tununak']; the build merges the stack into ONE site labelled by the first CSV row (consolidate_facilities). Proposed = medoid of own-label sites.</t>
        </is>
      </c>
      <c r="O7" s="5" t="inlineStr">
        <is>
          <t>unchanged</t>
        </is>
      </c>
      <c r="P7" s="5" t="n">
        <v>60.85687</v>
      </c>
      <c r="Q7" s="5" t="n">
        <v>-162.27649</v>
      </c>
      <c r="R7" s="7">
        <f>HYPERLINK("https://www.google.com/maps?q=60.856858,-162.276528","map: stored")</f>
        <v/>
      </c>
      <c r="S7" s="7">
        <f>HYPERLINK("https://www.google.com/maps?q=60.157950,-164.280100","map: proposed")</f>
        <v/>
      </c>
      <c r="T7" s="8" t="n"/>
      <c r="U7" s="8" t="n"/>
      <c r="V7" s="8" t="n"/>
      <c r="W7" s="8" t="n"/>
      <c r="X7" s="8" t="n"/>
    </row>
    <row r="8">
      <c r="A8" s="5" t="inlineStr">
        <is>
          <t>f001632</t>
        </is>
      </c>
      <c r="B8" s="5" t="n">
        <v>1373</v>
      </c>
      <c r="C8" s="5" t="n">
        <v>377</v>
      </c>
      <c r="D8" s="5" t="inlineStr">
        <is>
          <t>{DACE43E7-3929-4EAF-A8BD-A30101E62AD1}</t>
        </is>
      </c>
      <c r="E8" s="5" t="inlineStr">
        <is>
          <t>Chefornak</t>
        </is>
      </c>
      <c r="F8" s="5" t="inlineStr">
        <is>
          <t>latitude;longitude</t>
        </is>
      </c>
      <c r="G8" s="5" t="n">
        <v>60.856858</v>
      </c>
      <c r="H8" s="5" t="n">
        <v>-162.276528</v>
      </c>
      <c r="I8" s="5" t="n">
        <v>60.15795</v>
      </c>
      <c r="J8" s="5" t="n">
        <v>-164.2801</v>
      </c>
      <c r="K8" s="5" t="inlineStr">
        <is>
          <t>60.85685837,-162.27652783</t>
        </is>
      </c>
      <c r="L8" s="5" t="inlineStr">
        <is>
          <t>60.15795,-164.2801</t>
        </is>
      </c>
      <c r="M8" s="5" t="inlineStr">
        <is>
          <t>medium</t>
        </is>
      </c>
      <c r="N8" s="6" t="inlineStr">
        <is>
          <t>Exact point shared with facilities of ['Kipnuk', 'Nightmute', 'Tuntutuliak', 'Tununak']; the build merges the stack into ONE site labelled by the first CSV row (consolidate_facilities). Proposed = medoid of own-label sites.</t>
        </is>
      </c>
      <c r="O8" s="5" t="inlineStr">
        <is>
          <t>removed in 2025 file</t>
        </is>
      </c>
      <c r="P8" s="5" t="n"/>
      <c r="Q8" s="5" t="n"/>
      <c r="R8" s="7">
        <f>HYPERLINK("https://www.google.com/maps?q=60.856858,-162.276528","map: stored")</f>
        <v/>
      </c>
      <c r="S8" s="7">
        <f>HYPERLINK("https://www.google.com/maps?q=60.157950,-164.280100","map: proposed")</f>
        <v/>
      </c>
      <c r="T8" s="8" t="n"/>
      <c r="U8" s="8" t="n"/>
      <c r="V8" s="8" t="n"/>
      <c r="W8" s="8" t="n"/>
      <c r="X8" s="8" t="n"/>
    </row>
    <row r="9">
      <c r="A9" s="5" t="inlineStr">
        <is>
          <t>f001448</t>
        </is>
      </c>
      <c r="B9" s="5" t="n">
        <v>1584</v>
      </c>
      <c r="C9" s="5" t="n">
        <v>988</v>
      </c>
      <c r="D9" s="5" t="inlineStr">
        <is>
          <t>{72E67206-F008-47E9-AE98-4C85EAD98765}</t>
        </is>
      </c>
      <c r="E9" s="5" t="inlineStr">
        <is>
          <t>Kipnuk</t>
        </is>
      </c>
      <c r="F9" s="5" t="inlineStr">
        <is>
          <t>latitude;longitude</t>
        </is>
      </c>
      <c r="G9" s="5" t="n">
        <v>60.856858</v>
      </c>
      <c r="H9" s="5" t="n">
        <v>-162.276528</v>
      </c>
      <c r="I9" s="5" t="n">
        <v>59.94058</v>
      </c>
      <c r="J9" s="5" t="n">
        <v>-164.03627</v>
      </c>
      <c r="K9" s="5" t="inlineStr">
        <is>
          <t>60.85685837,-162.27652783</t>
        </is>
      </c>
      <c r="L9" s="5" t="inlineStr">
        <is>
          <t>59.94058,-164.03627</t>
        </is>
      </c>
      <c r="M9" s="5" t="inlineStr">
        <is>
          <t>medium</t>
        </is>
      </c>
      <c r="N9" s="6" t="inlineStr">
        <is>
          <t>Exact point shared with facilities of ['Chefornak', 'Nightmute', 'Tuntutuliak', 'Tununak']; the build merges the stack into ONE site labelled by the first CSV row (consolidate_facilities). Proposed = medoid of own-label sites.</t>
        </is>
      </c>
      <c r="O9" s="5" t="inlineStr">
        <is>
          <t>unchanged</t>
        </is>
      </c>
      <c r="P9" s="5" t="n">
        <v>60.85687</v>
      </c>
      <c r="Q9" s="5" t="n">
        <v>-162.27649</v>
      </c>
      <c r="R9" s="7">
        <f>HYPERLINK("https://www.google.com/maps?q=60.856858,-162.276528","map: stored")</f>
        <v/>
      </c>
      <c r="S9" s="7">
        <f>HYPERLINK("https://www.google.com/maps?q=59.940580,-164.036270","map: proposed")</f>
        <v/>
      </c>
      <c r="T9" s="8" t="n"/>
      <c r="U9" s="8" t="n"/>
      <c r="V9" s="8" t="n"/>
      <c r="W9" s="8" t="n"/>
      <c r="X9" s="8" t="n"/>
    </row>
    <row r="10">
      <c r="A10" s="5" t="inlineStr">
        <is>
          <t>f000627</t>
        </is>
      </c>
      <c r="B10" s="5" t="n">
        <v>1676</v>
      </c>
      <c r="C10" s="5" t="n">
        <v>1224</v>
      </c>
      <c r="D10" s="5" t="inlineStr">
        <is>
          <t>{AE061686-3F3E-4156-A901-5DDB6E3F0237}</t>
        </is>
      </c>
      <c r="E10" s="5" t="inlineStr">
        <is>
          <t>Nightmute</t>
        </is>
      </c>
      <c r="F10" s="5" t="inlineStr">
        <is>
          <t>latitude;longitude</t>
        </is>
      </c>
      <c r="G10" s="5" t="n">
        <v>60.856858</v>
      </c>
      <c r="H10" s="5" t="n">
        <v>-162.276528</v>
      </c>
      <c r="I10" s="5" t="n">
        <v>60.47936</v>
      </c>
      <c r="J10" s="5" t="n">
        <v>-164.72564</v>
      </c>
      <c r="K10" s="5" t="inlineStr">
        <is>
          <t>60.85685837,-162.27652783</t>
        </is>
      </c>
      <c r="L10" s="5" t="inlineStr">
        <is>
          <t>60.47936,-164.72564</t>
        </is>
      </c>
      <c r="M10" s="5" t="inlineStr">
        <is>
          <t>medium</t>
        </is>
      </c>
      <c r="N10" s="6" t="inlineStr">
        <is>
          <t>Exact point shared with facilities of ['Chefornak', 'Kipnuk', 'Tuntutuliak', 'Tununak']; the build merges the stack into ONE site labelled by the first CSV row (consolidate_facilities). Proposed = medoid of own-label sites.</t>
        </is>
      </c>
      <c r="O10" s="5" t="inlineStr">
        <is>
          <t>unchanged</t>
        </is>
      </c>
      <c r="P10" s="5" t="n">
        <v>60.85687</v>
      </c>
      <c r="Q10" s="5" t="n">
        <v>-162.27649</v>
      </c>
      <c r="R10" s="7">
        <f>HYPERLINK("https://www.google.com/maps?q=60.856858,-162.276528","map: stored")</f>
        <v/>
      </c>
      <c r="S10" s="7">
        <f>HYPERLINK("https://www.google.com/maps?q=60.479360,-164.725640","map: proposed")</f>
        <v/>
      </c>
      <c r="T10" s="8" t="n"/>
      <c r="U10" s="8" t="n"/>
      <c r="V10" s="8" t="n"/>
      <c r="W10" s="8" t="n"/>
      <c r="X10" s="8" t="n"/>
    </row>
    <row r="11">
      <c r="A11" s="5" t="inlineStr">
        <is>
          <t>f000649</t>
        </is>
      </c>
      <c r="B11" s="5" t="n">
        <v>1906</v>
      </c>
      <c r="C11" s="5" t="n">
        <v>1731</v>
      </c>
      <c r="D11" s="5" t="inlineStr">
        <is>
          <t>{96705E92-63AB-41A0-B0E8-52639E90CEC8}</t>
        </is>
      </c>
      <c r="E11" s="5" t="inlineStr">
        <is>
          <t>Tuntutuliak</t>
        </is>
      </c>
      <c r="F11" s="5" t="inlineStr">
        <is>
          <t>latitude;longitude</t>
        </is>
      </c>
      <c r="G11" s="5" t="n">
        <v>60.856858</v>
      </c>
      <c r="H11" s="5" t="n">
        <v>-162.276528</v>
      </c>
      <c r="I11" s="5" t="n">
        <v>60.34307</v>
      </c>
      <c r="J11" s="5" t="n">
        <v>-162.66696</v>
      </c>
      <c r="K11" s="5" t="inlineStr">
        <is>
          <t>60.85685837,-162.27652783</t>
        </is>
      </c>
      <c r="L11" s="5" t="inlineStr">
        <is>
          <t>60.34307,-162.66696</t>
        </is>
      </c>
      <c r="M11" s="5" t="inlineStr">
        <is>
          <t>medium</t>
        </is>
      </c>
      <c r="N11" s="6" t="inlineStr">
        <is>
          <t>Exact point shared with facilities of ['Chefornak', 'Kipnuk', 'Nightmute', 'Tununak']; the build merges the stack into ONE site labelled by the first CSV row (consolidate_facilities). Proposed = medoid of own-label sites.</t>
        </is>
      </c>
      <c r="O11" s="5" t="inlineStr">
        <is>
          <t>unchanged</t>
        </is>
      </c>
      <c r="P11" s="5" t="n">
        <v>60.85687</v>
      </c>
      <c r="Q11" s="5" t="n">
        <v>-162.27649</v>
      </c>
      <c r="R11" s="7">
        <f>HYPERLINK("https://www.google.com/maps?q=60.856858,-162.276528","map: stored")</f>
        <v/>
      </c>
      <c r="S11" s="7">
        <f>HYPERLINK("https://www.google.com/maps?q=60.343070,-162.666960","map: proposed")</f>
        <v/>
      </c>
      <c r="T11" s="8" t="n"/>
      <c r="U11" s="8" t="n"/>
      <c r="V11" s="8" t="n"/>
      <c r="W11" s="8" t="n"/>
      <c r="X11" s="8" t="n"/>
    </row>
    <row r="12">
      <c r="A12" s="5" t="inlineStr">
        <is>
          <t>f000872</t>
        </is>
      </c>
      <c r="B12" s="5" t="n">
        <v>1907</v>
      </c>
      <c r="C12" s="5" t="n">
        <v>1733</v>
      </c>
      <c r="D12" s="5" t="inlineStr">
        <is>
          <t>{D32639C4-3E15-4313-904F-B53FE9C4C207}</t>
        </is>
      </c>
      <c r="E12" s="5" t="inlineStr">
        <is>
          <t>Tununak</t>
        </is>
      </c>
      <c r="F12" s="5" t="inlineStr">
        <is>
          <t>latitude;longitude</t>
        </is>
      </c>
      <c r="G12" s="5" t="n">
        <v>60.856858</v>
      </c>
      <c r="H12" s="5" t="n">
        <v>-162.276528</v>
      </c>
      <c r="I12" s="5" t="n">
        <v>60.5861</v>
      </c>
      <c r="J12" s="5" t="n">
        <v>-165.25553</v>
      </c>
      <c r="K12" s="5" t="inlineStr">
        <is>
          <t>60.85685837,-162.27652783</t>
        </is>
      </c>
      <c r="L12" s="5" t="inlineStr">
        <is>
          <t>60.5861,-165.25553</t>
        </is>
      </c>
      <c r="M12" s="5" t="inlineStr">
        <is>
          <t>medium</t>
        </is>
      </c>
      <c r="N12" s="6" t="inlineStr">
        <is>
          <t>Exact point shared with facilities of ['Chefornak', 'Kipnuk', 'Nightmute', 'Tuntutuliak']; the build merges the stack into ONE site labelled by the first CSV row (consolidate_facilities). Proposed = medoid of own-label sites.</t>
        </is>
      </c>
      <c r="O12" s="5" t="inlineStr">
        <is>
          <t>unchanged</t>
        </is>
      </c>
      <c r="P12" s="5" t="n">
        <v>60.85687</v>
      </c>
      <c r="Q12" s="5" t="n">
        <v>-162.27649</v>
      </c>
      <c r="R12" s="7">
        <f>HYPERLINK("https://www.google.com/maps?q=60.856858,-162.276528","map: stored")</f>
        <v/>
      </c>
      <c r="S12" s="7">
        <f>HYPERLINK("https://www.google.com/maps?q=60.586100,-165.255530","map: proposed")</f>
        <v/>
      </c>
      <c r="T12" s="8" t="n"/>
      <c r="U12" s="8" t="n"/>
      <c r="V12" s="8" t="n"/>
      <c r="W12" s="8" t="n"/>
      <c r="X12" s="8" t="n"/>
    </row>
    <row r="13">
      <c r="A13" s="5" t="inlineStr">
        <is>
          <t>f000368</t>
        </is>
      </c>
      <c r="B13" s="5" t="n">
        <v>1910</v>
      </c>
      <c r="C13" s="5" t="n">
        <v>1736</v>
      </c>
      <c r="D13" s="5" t="inlineStr">
        <is>
          <t>{558BB9D2-4F54-4E1C-95C2-9295EBEAC1CD}</t>
        </is>
      </c>
      <c r="E13" s="5" t="inlineStr">
        <is>
          <t>Tununak</t>
        </is>
      </c>
      <c r="F13" s="5" t="inlineStr">
        <is>
          <t>latitude;longitude</t>
        </is>
      </c>
      <c r="G13" s="5" t="n">
        <v>60.856858</v>
      </c>
      <c r="H13" s="5" t="n">
        <v>-162.276528</v>
      </c>
      <c r="I13" s="5" t="n">
        <v>60.5861</v>
      </c>
      <c r="J13" s="5" t="n">
        <v>-165.25553</v>
      </c>
      <c r="K13" s="5" t="inlineStr">
        <is>
          <t>60.85685837,-162.27652783</t>
        </is>
      </c>
      <c r="L13" s="5" t="inlineStr">
        <is>
          <t>60.5861,-165.25553</t>
        </is>
      </c>
      <c r="M13" s="5" t="inlineStr">
        <is>
          <t>medium</t>
        </is>
      </c>
      <c r="N13" s="6" t="inlineStr">
        <is>
          <t>Exact point shared with facilities of ['Chefornak', 'Kipnuk', 'Nightmute', 'Tuntutuliak']; the build merges the stack into ONE site labelled by the first CSV row (consolidate_facilities). Proposed = medoid of own-label sites.</t>
        </is>
      </c>
      <c r="O13" s="5" t="inlineStr">
        <is>
          <t>removed in 2025 file</t>
        </is>
      </c>
      <c r="P13" s="5" t="n"/>
      <c r="Q13" s="5" t="n"/>
      <c r="R13" s="7">
        <f>HYPERLINK("https://www.google.com/maps?q=60.856858,-162.276528","map: stored")</f>
        <v/>
      </c>
      <c r="S13" s="7">
        <f>HYPERLINK("https://www.google.com/maps?q=60.586100,-165.255530","map: proposed")</f>
        <v/>
      </c>
      <c r="T13" s="8" t="n"/>
      <c r="U13" s="8" t="n"/>
      <c r="V13" s="8" t="n"/>
      <c r="W13" s="8" t="n"/>
      <c r="X13" s="8" t="n"/>
    </row>
    <row r="14">
      <c r="A14" s="5" t="inlineStr">
        <is>
          <t>f000896</t>
        </is>
      </c>
      <c r="B14" s="5" t="n">
        <v>1630</v>
      </c>
      <c r="C14" s="5" t="n">
        <v>1119</v>
      </c>
      <c r="D14" s="5" t="inlineStr">
        <is>
          <t>{3EDD2A9C-65E1-4B69-95C6-B86EF44C2A59}</t>
        </is>
      </c>
      <c r="E14" s="5" t="inlineStr">
        <is>
          <t>Lower Kalskag</t>
        </is>
      </c>
      <c r="F14" s="5" t="inlineStr">
        <is>
          <t>latitude;longitude</t>
        </is>
      </c>
      <c r="G14" s="5" t="n">
        <v>61.580835</v>
      </c>
      <c r="H14" s="5" t="n">
        <v>-159.551052</v>
      </c>
      <c r="I14" s="5" t="n">
        <v>61.51268</v>
      </c>
      <c r="J14" s="5" t="n">
        <v>-160.36412</v>
      </c>
      <c r="K14" s="5" t="inlineStr">
        <is>
          <t>61.58083535,-159.55105162</t>
        </is>
      </c>
      <c r="L14" s="5" t="inlineStr">
        <is>
          <t>61.51268,-160.36412</t>
        </is>
      </c>
      <c r="M14" s="5" t="inlineStr">
        <is>
          <t>medium</t>
        </is>
      </c>
      <c r="N14" s="6" t="inlineStr">
        <is>
          <t>Exact point shared with facilities of ['Aniak', 'Chuathbaluk', 'Red Devil', 'Upper Kalskag']; the build merges the stack into ONE site labelled by the first CSV row (consolidate_facilities). Proposed = medoid of own-label sites.</t>
        </is>
      </c>
      <c r="O14" s="5" t="inlineStr">
        <is>
          <t>unchanged</t>
        </is>
      </c>
      <c r="P14" s="5" t="n">
        <v>61.57312</v>
      </c>
      <c r="Q14" s="5" t="n">
        <v>-159.24902</v>
      </c>
      <c r="R14" s="7">
        <f>HYPERLINK("https://www.google.com/maps?q=61.580835,-159.551052","map: stored")</f>
        <v/>
      </c>
      <c r="S14" s="7">
        <f>HYPERLINK("https://www.google.com/maps?q=61.512680,-160.364120","map: proposed")</f>
        <v/>
      </c>
      <c r="T14" s="8" t="n"/>
      <c r="U14" s="8" t="n"/>
      <c r="V14" s="8" t="n"/>
      <c r="W14" s="8" t="n"/>
      <c r="X14" s="8" t="n"/>
    </row>
    <row r="15">
      <c r="A15" s="5" t="inlineStr">
        <is>
          <t>f001398</t>
        </is>
      </c>
      <c r="B15" s="5" t="n">
        <v>1790</v>
      </c>
      <c r="C15" s="5" t="n">
        <v>1461</v>
      </c>
      <c r="D15" s="5" t="inlineStr">
        <is>
          <t>{A6656A06-FB6E-44F6-8DEB-0A79C30970C9}</t>
        </is>
      </c>
      <c r="E15" s="5" t="inlineStr">
        <is>
          <t>Red Devil</t>
        </is>
      </c>
      <c r="F15" s="5" t="inlineStr">
        <is>
          <t>latitude;longitude</t>
        </is>
      </c>
      <c r="G15" s="5" t="n">
        <v>61.580835</v>
      </c>
      <c r="H15" s="5" t="n">
        <v>-159.551052</v>
      </c>
      <c r="I15" s="5" t="n">
        <v>61.7825</v>
      </c>
      <c r="J15" s="5" t="n">
        <v>-157.33684</v>
      </c>
      <c r="K15" s="5" t="inlineStr">
        <is>
          <t>61.58083535,-159.55105162</t>
        </is>
      </c>
      <c r="L15" s="5" t="inlineStr">
        <is>
          <t>61.7825,-157.33684</t>
        </is>
      </c>
      <c r="M15" s="5" t="inlineStr">
        <is>
          <t>medium</t>
        </is>
      </c>
      <c r="N15" s="6" t="inlineStr">
        <is>
          <t>Exact point shared with facilities of ['Aniak', 'Chuathbaluk', 'Lower Kalskag', 'Upper Kalskag']; the build merges the stack into ONE site labelled by the first CSV row (consolidate_facilities). Proposed = medoid of own-label sites.</t>
        </is>
      </c>
      <c r="O15" s="5" t="inlineStr">
        <is>
          <t>unchanged</t>
        </is>
      </c>
      <c r="P15" s="5" t="n">
        <v>61.57312</v>
      </c>
      <c r="Q15" s="5" t="n">
        <v>-159.24902</v>
      </c>
      <c r="R15" s="7">
        <f>HYPERLINK("https://www.google.com/maps?q=61.580835,-159.551052","map: stored")</f>
        <v/>
      </c>
      <c r="S15" s="7">
        <f>HYPERLINK("https://www.google.com/maps?q=61.782500,-157.336840","map: proposed")</f>
        <v/>
      </c>
      <c r="T15" s="8" t="n"/>
      <c r="U15" s="8" t="n"/>
      <c r="V15" s="8" t="n"/>
      <c r="W15" s="8" t="n"/>
      <c r="X15" s="8" t="n"/>
    </row>
    <row r="16">
      <c r="A16" s="5" t="inlineStr">
        <is>
          <t>f000653</t>
        </is>
      </c>
      <c r="B16" s="5" t="n">
        <v>1923</v>
      </c>
      <c r="C16" s="5" t="n">
        <v>1771</v>
      </c>
      <c r="D16" s="5" t="inlineStr">
        <is>
          <t>{405CC19C-36AB-4808-8AB1-CDE994AED352}</t>
        </is>
      </c>
      <c r="E16" s="5" t="inlineStr">
        <is>
          <t>Upper Kalskag</t>
        </is>
      </c>
      <c r="F16" s="5" t="inlineStr">
        <is>
          <t>latitude;longitude</t>
        </is>
      </c>
      <c r="G16" s="5" t="n">
        <v>61.580835</v>
      </c>
      <c r="H16" s="5" t="n">
        <v>-159.551052</v>
      </c>
      <c r="I16" s="5" t="n">
        <v>61.53861</v>
      </c>
      <c r="J16" s="5" t="n">
        <v>-160.3171</v>
      </c>
      <c r="K16" s="5" t="inlineStr">
        <is>
          <t>61.58083535,-159.55105162</t>
        </is>
      </c>
      <c r="L16" s="5" t="inlineStr">
        <is>
          <t>61.53861,-160.3171</t>
        </is>
      </c>
      <c r="M16" s="5" t="inlineStr">
        <is>
          <t>medium</t>
        </is>
      </c>
      <c r="N16" s="6" t="inlineStr">
        <is>
          <t>Exact point shared with facilities of ['Aniak', 'Chuathbaluk', 'Lower Kalskag', 'Red Devil']; the build merges the stack into ONE site labelled by the first CSV row (consolidate_facilities). Proposed = medoid of own-label sites.</t>
        </is>
      </c>
      <c r="O16" s="5" t="inlineStr">
        <is>
          <t>unchanged</t>
        </is>
      </c>
      <c r="P16" s="5" t="n">
        <v>61.57312</v>
      </c>
      <c r="Q16" s="5" t="n">
        <v>-159.24902</v>
      </c>
      <c r="R16" s="7">
        <f>HYPERLINK("https://www.google.com/maps?q=61.580835,-159.551052","map: stored")</f>
        <v/>
      </c>
      <c r="S16" s="7">
        <f>HYPERLINK("https://www.google.com/maps?q=61.538610,-160.317100","map: proposed")</f>
        <v/>
      </c>
      <c r="T16" s="8" t="n"/>
      <c r="U16" s="8" t="n"/>
      <c r="V16" s="8" t="n"/>
      <c r="W16" s="8" t="n"/>
      <c r="X16" s="8" t="n"/>
    </row>
    <row r="17">
      <c r="A17" s="5" t="inlineStr">
        <is>
          <t>f000836</t>
        </is>
      </c>
      <c r="B17" s="5" t="n">
        <v>1924</v>
      </c>
      <c r="C17" s="5" t="n">
        <v>1772</v>
      </c>
      <c r="D17" s="5" t="inlineStr">
        <is>
          <t>{A683A9D1-FB48-4678-8EFF-35498B21F2A5}</t>
        </is>
      </c>
      <c r="E17" s="5" t="inlineStr">
        <is>
          <t>Upper Kalskag</t>
        </is>
      </c>
      <c r="F17" s="5" t="inlineStr">
        <is>
          <t>latitude;longitude</t>
        </is>
      </c>
      <c r="G17" s="5" t="n">
        <v>61.580835</v>
      </c>
      <c r="H17" s="5" t="n">
        <v>-159.551052</v>
      </c>
      <c r="I17" s="5" t="n">
        <v>61.53861</v>
      </c>
      <c r="J17" s="5" t="n">
        <v>-160.3171</v>
      </c>
      <c r="K17" s="5" t="inlineStr">
        <is>
          <t>61.58083535,-159.55105162</t>
        </is>
      </c>
      <c r="L17" s="5" t="inlineStr">
        <is>
          <t>61.53861,-160.3171</t>
        </is>
      </c>
      <c r="M17" s="5" t="inlineStr">
        <is>
          <t>medium</t>
        </is>
      </c>
      <c r="N17" s="6" t="inlineStr">
        <is>
          <t>Exact point shared with facilities of ['Aniak', 'Chuathbaluk', 'Lower Kalskag', 'Red Devil']; the build merges the stack into ONE site labelled by the first CSV row (consolidate_facilities). Proposed = medoid of own-label sites.</t>
        </is>
      </c>
      <c r="O17" s="5" t="inlineStr">
        <is>
          <t>removed in 2025 file</t>
        </is>
      </c>
      <c r="P17" s="5" t="n"/>
      <c r="Q17" s="5" t="n"/>
      <c r="R17" s="7">
        <f>HYPERLINK("https://www.google.com/maps?q=61.580835,-159.551052","map: stored")</f>
        <v/>
      </c>
      <c r="S17" s="7">
        <f>HYPERLINK("https://www.google.com/maps?q=61.538610,-160.317100","map: proposed")</f>
        <v/>
      </c>
      <c r="T17" s="8" t="n"/>
      <c r="U17" s="8" t="n"/>
      <c r="V17" s="8" t="n"/>
      <c r="W17" s="8" t="n"/>
      <c r="X17" s="8" t="n"/>
    </row>
    <row r="18">
      <c r="A18" s="5" t="inlineStr">
        <is>
          <t>f001717</t>
        </is>
      </c>
      <c r="B18" s="5" t="n">
        <v>1942</v>
      </c>
      <c r="C18" s="5" t="n">
        <v>1827</v>
      </c>
      <c r="D18" s="5" t="inlineStr">
        <is>
          <t>{3758A00D-FA89-45EA-85FB-DE30F19E5DBC}</t>
        </is>
      </c>
      <c r="E18" s="5" t="inlineStr">
        <is>
          <t>White Mountain</t>
        </is>
      </c>
      <c r="F18" s="5" t="inlineStr">
        <is>
          <t>latitude;longitude</t>
        </is>
      </c>
      <c r="G18" s="5" t="n">
        <v>63.515687</v>
      </c>
      <c r="H18" s="5" t="n">
        <v>-162.285557</v>
      </c>
      <c r="I18" s="5" t="n">
        <v>64.68376000000001</v>
      </c>
      <c r="J18" s="5" t="n">
        <v>-163.41349</v>
      </c>
      <c r="K18" s="5" t="inlineStr">
        <is>
          <t>63.51568716,-162.2855574</t>
        </is>
      </c>
      <c r="L18" s="5" t="inlineStr">
        <is>
          <t>64.68376,-163.41349</t>
        </is>
      </c>
      <c r="M18" s="5" t="inlineStr">
        <is>
          <t>medium</t>
        </is>
      </c>
      <c r="N18" s="6" t="inlineStr">
        <is>
          <t>Exact point shared with facilities of ['Stebbins']; the build merges the stack into ONE site labelled by the first CSV row (consolidate_facilities). Proposed = medoid of own-label sites.</t>
        </is>
      </c>
      <c r="O18" s="5" t="inlineStr">
        <is>
          <t>unchanged</t>
        </is>
      </c>
      <c r="P18" s="5" t="n">
        <v>63.51569</v>
      </c>
      <c r="Q18" s="5" t="n">
        <v>-162.28558</v>
      </c>
      <c r="R18" s="7">
        <f>HYPERLINK("https://www.google.com/maps?q=63.515687,-162.285557","map: stored")</f>
        <v/>
      </c>
      <c r="S18" s="7">
        <f>HYPERLINK("https://www.google.com/maps?q=64.683760,-163.413490","map: proposed")</f>
        <v/>
      </c>
      <c r="T18" s="8" t="n"/>
      <c r="U18" s="8" t="n"/>
      <c r="V18" s="8" t="n"/>
      <c r="W18" s="8" t="n"/>
      <c r="X18" s="8" t="n"/>
    </row>
    <row r="19">
      <c r="A19" s="5" t="inlineStr">
        <is>
          <t>f000832</t>
        </is>
      </c>
      <c r="B19" s="5" t="n">
        <v>1830</v>
      </c>
      <c r="C19" s="5" t="n">
        <v>1531</v>
      </c>
      <c r="D19" s="5" t="inlineStr">
        <is>
          <t>{C8EC9D39-F5C7-4B8E-94A5-4B7BE891EF44}</t>
        </is>
      </c>
      <c r="E19" s="5" t="inlineStr">
        <is>
          <t>Savoonga</t>
        </is>
      </c>
      <c r="F19" s="5" t="inlineStr">
        <is>
          <t>latitude;longitude</t>
        </is>
      </c>
      <c r="G19" s="5" t="n">
        <v>63.779113</v>
      </c>
      <c r="H19" s="5" t="n">
        <v>-171.734058</v>
      </c>
      <c r="I19" s="5" t="n">
        <v>63.69529</v>
      </c>
      <c r="J19" s="5" t="n">
        <v>-170.48242</v>
      </c>
      <c r="K19" s="5" t="inlineStr">
        <is>
          <t>63.77911319,-171.73405841</t>
        </is>
      </c>
      <c r="L19" s="5" t="inlineStr">
        <is>
          <t>63.69529,-170.48242</t>
        </is>
      </c>
      <c r="M19" s="5" t="inlineStr">
        <is>
          <t>medium</t>
        </is>
      </c>
      <c r="N19" s="6" t="inlineStr">
        <is>
          <t>Exact point shared with facilities of ['Gambell']; the build merges the stack into ONE site labelled by the first CSV row (consolidate_facilities). Proposed = medoid of own-label sites.</t>
        </is>
      </c>
      <c r="O19" s="5" t="inlineStr">
        <is>
          <t>unchanged</t>
        </is>
      </c>
      <c r="P19" s="5" t="n">
        <v>63.77911</v>
      </c>
      <c r="Q19" s="5" t="n">
        <v>-171.73401</v>
      </c>
      <c r="R19" s="7">
        <f>HYPERLINK("https://www.google.com/maps?q=63.779113,-171.734058","map: stored")</f>
        <v/>
      </c>
      <c r="S19" s="7">
        <f>HYPERLINK("https://www.google.com/maps?q=63.695290,-170.482420","map: proposed")</f>
        <v/>
      </c>
      <c r="T19" s="8" t="n"/>
      <c r="U19" s="8" t="n"/>
      <c r="V19" s="8" t="n"/>
      <c r="W19" s="8" t="n"/>
      <c r="X19" s="8" t="n"/>
    </row>
    <row r="20">
      <c r="A20" s="5" t="inlineStr">
        <is>
          <t>f000650</t>
        </is>
      </c>
      <c r="B20" s="5" t="n">
        <v>1504</v>
      </c>
      <c r="C20" s="5" t="n">
        <v>786</v>
      </c>
      <c r="D20" s="5" t="inlineStr">
        <is>
          <t>{5283F15A-66DA-4487-8444-EC1A2C43934D}</t>
        </is>
      </c>
      <c r="E20" s="5" t="inlineStr">
        <is>
          <t>Hooper Bay</t>
        </is>
      </c>
      <c r="F20" s="5" t="inlineStr">
        <is>
          <t>latitude;longitude</t>
        </is>
      </c>
      <c r="G20" s="5" t="n">
        <v>64.733919</v>
      </c>
      <c r="H20" s="5" t="n">
        <v>-156.918809</v>
      </c>
      <c r="I20" s="5" t="n">
        <v>61.53062</v>
      </c>
      <c r="J20" s="5" t="n">
        <v>-166.10234</v>
      </c>
      <c r="K20" s="5" t="inlineStr">
        <is>
          <t>64.73391882,-156.91880943</t>
        </is>
      </c>
      <c r="L20" s="5" t="inlineStr">
        <is>
          <t>61.53062,-166.10234</t>
        </is>
      </c>
      <c r="M20" s="5" t="inlineStr">
        <is>
          <t>medium</t>
        </is>
      </c>
      <c r="N20" s="6" t="inlineStr">
        <is>
          <t>Exact point shared with facilities of ['Galena']; the build merges the stack into ONE site labelled by the first CSV row (consolidate_facilities). Proposed = medoid of own-label sites.</t>
        </is>
      </c>
      <c r="O20" s="5" t="inlineStr">
        <is>
          <t>map point corrected Dec 2025</t>
        </is>
      </c>
      <c r="P20" s="5" t="n">
        <v>61.52991</v>
      </c>
      <c r="Q20" s="5" t="n">
        <v>-166.1037</v>
      </c>
      <c r="R20" s="7">
        <f>HYPERLINK("https://www.google.com/maps?q=64.733919,-156.918809","map: stored")</f>
        <v/>
      </c>
      <c r="S20" s="7">
        <f>HYPERLINK("https://www.google.com/maps?q=61.530620,-166.102340","map: proposed")</f>
        <v/>
      </c>
      <c r="T20" s="8" t="n"/>
      <c r="U20" s="8" t="n"/>
      <c r="V20" s="8" t="n"/>
      <c r="W20" s="8" t="n"/>
      <c r="X20" s="8" t="n"/>
    </row>
    <row r="21">
      <c r="A21" s="5" t="inlineStr">
        <is>
          <t>f000554</t>
        </is>
      </c>
      <c r="B21" s="5" t="n">
        <v>1563</v>
      </c>
      <c r="C21" s="5" t="n">
        <v>903</v>
      </c>
      <c r="D21" s="5" t="inlineStr">
        <is>
          <t>{4EB90598-665E-44BF-BABD-1D75C638BCF2}</t>
        </is>
      </c>
      <c r="E21" s="5" t="inlineStr">
        <is>
          <t>Kaltag</t>
        </is>
      </c>
      <c r="F21" s="5" t="inlineStr">
        <is>
          <t>latitude;longitude</t>
        </is>
      </c>
      <c r="G21" s="5" t="n">
        <v>64.87965</v>
      </c>
      <c r="H21" s="5" t="n">
        <v>-157.718668</v>
      </c>
      <c r="I21" s="5" t="n">
        <v>64.32472</v>
      </c>
      <c r="J21" s="5" t="n">
        <v>-158.72837</v>
      </c>
      <c r="K21" s="5" t="inlineStr">
        <is>
          <t>64.87964972,-157.71866756</t>
        </is>
      </c>
      <c r="L21" s="5" t="inlineStr">
        <is>
          <t>64.32472,-158.72837</t>
        </is>
      </c>
      <c r="M21" s="5" t="inlineStr">
        <is>
          <t>medium</t>
        </is>
      </c>
      <c r="N21" s="6" t="inlineStr">
        <is>
          <t>Exact point shared with facilities of ['Koyukuk']; the build merges the stack into ONE site labelled by the first CSV row (consolidate_facilities). Proposed = medoid of own-label sites.</t>
        </is>
      </c>
      <c r="O21" s="5" t="inlineStr">
        <is>
          <t>unchanged</t>
        </is>
      </c>
      <c r="P21" s="5" t="n">
        <v>64.8797</v>
      </c>
      <c r="Q21" s="5" t="n">
        <v>-157.71869</v>
      </c>
      <c r="R21" s="7">
        <f>HYPERLINK("https://www.google.com/maps?q=64.879650,-157.718668","map: stored")</f>
        <v/>
      </c>
      <c r="S21" s="7">
        <f>HYPERLINK("https://www.google.com/maps?q=64.324720,-158.728370","map: proposed")</f>
        <v/>
      </c>
      <c r="T21" s="8" t="n"/>
      <c r="U21" s="8" t="n"/>
      <c r="V21" s="8" t="n"/>
      <c r="W21" s="8" t="n"/>
      <c r="X21" s="8" t="n"/>
    </row>
    <row r="22">
      <c r="A22" s="5" t="inlineStr">
        <is>
          <t>f001514</t>
        </is>
      </c>
      <c r="B22" s="5" t="n">
        <v>1385</v>
      </c>
      <c r="C22" s="5" t="n">
        <v>395</v>
      </c>
      <c r="D22" s="5" t="inlineStr">
        <is>
          <t>{C558007A-A0AB-4C4D-A836-9CA4EA3BD493}</t>
        </is>
      </c>
      <c r="E22" s="5" t="inlineStr">
        <is>
          <t>Chevak</t>
        </is>
      </c>
      <c r="F22" s="5" t="inlineStr">
        <is>
          <t>latitude;longitude</t>
        </is>
      </c>
      <c r="G22" s="5" t="n">
        <v>65.332712</v>
      </c>
      <c r="H22" s="5" t="n">
        <v>-166.494224</v>
      </c>
      <c r="I22" s="5" t="n">
        <v>61.52809</v>
      </c>
      <c r="J22" s="5" t="n">
        <v>-165.5862</v>
      </c>
      <c r="K22" s="5" t="inlineStr">
        <is>
          <t>65.33271165,-166.49422415</t>
        </is>
      </c>
      <c r="L22" s="5" t="inlineStr">
        <is>
          <t>61.52809,-165.5862</t>
        </is>
      </c>
      <c r="M22" s="5" t="inlineStr">
        <is>
          <t>medium</t>
        </is>
      </c>
      <c r="N22" s="6" t="inlineStr">
        <is>
          <t>Exact point shared with facilities of ['Brevig Mission', 'Nightmute', 'Stebbins', 'Toksook Bay', 'Tununak']; the build merges the stack into ONE site labelled by the first CSV row (consolidate_facilities). Proposed = medoid of own-label sites.</t>
        </is>
      </c>
      <c r="O22" s="5" t="inlineStr">
        <is>
          <t>unchanged</t>
        </is>
      </c>
      <c r="P22" s="5" t="n">
        <v>65.3327</v>
      </c>
      <c r="Q22" s="5" t="n">
        <v>-166.4942</v>
      </c>
      <c r="R22" s="7">
        <f>HYPERLINK("https://www.google.com/maps?q=65.332712,-166.494224","map: stored")</f>
        <v/>
      </c>
      <c r="S22" s="7">
        <f>HYPERLINK("https://www.google.com/maps?q=61.528090,-165.586200","map: proposed")</f>
        <v/>
      </c>
      <c r="T22" s="8" t="n"/>
      <c r="U22" s="8" t="n"/>
      <c r="V22" s="8" t="n"/>
      <c r="W22" s="8" t="n"/>
      <c r="X22" s="8" t="n"/>
    </row>
    <row r="23">
      <c r="A23" s="5" t="inlineStr">
        <is>
          <t>f000764</t>
        </is>
      </c>
      <c r="B23" s="5" t="n">
        <v>1678</v>
      </c>
      <c r="C23" s="5" t="n">
        <v>1226</v>
      </c>
      <c r="D23" s="5" t="inlineStr">
        <is>
          <t>{6EF0C04D-FA10-46F4-A9C4-91EC73504366}</t>
        </is>
      </c>
      <c r="E23" s="5" t="inlineStr">
        <is>
          <t>Nightmute</t>
        </is>
      </c>
      <c r="F23" s="5" t="inlineStr">
        <is>
          <t>latitude;longitude</t>
        </is>
      </c>
      <c r="G23" s="5" t="n">
        <v>65.332712</v>
      </c>
      <c r="H23" s="5" t="n">
        <v>-166.494224</v>
      </c>
      <c r="I23" s="5" t="n">
        <v>60.47936</v>
      </c>
      <c r="J23" s="5" t="n">
        <v>-164.72564</v>
      </c>
      <c r="K23" s="5" t="inlineStr">
        <is>
          <t>65.33271165,-166.49422415</t>
        </is>
      </c>
      <c r="L23" s="5" t="inlineStr">
        <is>
          <t>60.47936,-164.72564</t>
        </is>
      </c>
      <c r="M23" s="5" t="inlineStr">
        <is>
          <t>medium</t>
        </is>
      </c>
      <c r="N23" s="6" t="inlineStr">
        <is>
          <t>Exact point shared with facilities of ['Brevig Mission', 'Chevak', 'Stebbins', 'Toksook Bay', 'Tununak']; the build merges the stack into ONE site labelled by the first CSV row (consolidate_facilities). Proposed = medoid of own-label sites.</t>
        </is>
      </c>
      <c r="O23" s="5" t="inlineStr">
        <is>
          <t>unchanged</t>
        </is>
      </c>
      <c r="P23" s="5" t="n">
        <v>65.3327</v>
      </c>
      <c r="Q23" s="5" t="n">
        <v>-166.4942</v>
      </c>
      <c r="R23" s="7">
        <f>HYPERLINK("https://www.google.com/maps?q=65.332712,-166.494224","map: stored")</f>
        <v/>
      </c>
      <c r="S23" s="7">
        <f>HYPERLINK("https://www.google.com/maps?q=60.479360,-164.725640","map: proposed")</f>
        <v/>
      </c>
      <c r="T23" s="8" t="n"/>
      <c r="U23" s="8" t="n"/>
      <c r="V23" s="8" t="n"/>
      <c r="W23" s="8" t="n"/>
      <c r="X23" s="8" t="n"/>
    </row>
    <row r="24">
      <c r="A24" s="5" t="inlineStr">
        <is>
          <t>f001261</t>
        </is>
      </c>
      <c r="B24" s="5" t="n">
        <v>1855</v>
      </c>
      <c r="C24" s="5" t="n">
        <v>1639</v>
      </c>
      <c r="D24" s="5" t="inlineStr">
        <is>
          <t>{743459E3-FCB1-4860-9E07-61BE3B6A04B3}</t>
        </is>
      </c>
      <c r="E24" s="5" t="inlineStr">
        <is>
          <t>Stebbins</t>
        </is>
      </c>
      <c r="F24" s="5" t="inlineStr">
        <is>
          <t>latitude;longitude</t>
        </is>
      </c>
      <c r="G24" s="5" t="n">
        <v>65.332712</v>
      </c>
      <c r="H24" s="5" t="n">
        <v>-166.494224</v>
      </c>
      <c r="I24" s="5" t="n">
        <v>63.51967</v>
      </c>
      <c r="J24" s="5" t="n">
        <v>-162.28567</v>
      </c>
      <c r="K24" s="5" t="inlineStr">
        <is>
          <t>65.33271165,-166.49422415</t>
        </is>
      </c>
      <c r="L24" s="5" t="inlineStr">
        <is>
          <t>63.51967,-162.28567</t>
        </is>
      </c>
      <c r="M24" s="5" t="inlineStr">
        <is>
          <t>medium</t>
        </is>
      </c>
      <c r="N24" s="6" t="inlineStr">
        <is>
          <t>Exact point shared with facilities of ['Brevig Mission', 'Chevak', 'Nightmute', 'Toksook Bay', 'Tununak']; the build merges the stack into ONE site labelled by the first CSV row (consolidate_facilities). Proposed = medoid of own-label sites.</t>
        </is>
      </c>
      <c r="O24" s="5" t="inlineStr">
        <is>
          <t>unchanged</t>
        </is>
      </c>
      <c r="P24" s="5" t="n">
        <v>65.3327</v>
      </c>
      <c r="Q24" s="5" t="n">
        <v>-166.4942</v>
      </c>
      <c r="R24" s="7">
        <f>HYPERLINK("https://www.google.com/maps?q=65.332712,-166.494224","map: stored")</f>
        <v/>
      </c>
      <c r="S24" s="7">
        <f>HYPERLINK("https://www.google.com/maps?q=63.519670,-162.285670","map: proposed")</f>
        <v/>
      </c>
      <c r="T24" s="8" t="n"/>
      <c r="U24" s="8" t="n"/>
      <c r="V24" s="8" t="n"/>
      <c r="W24" s="8" t="n"/>
      <c r="X24" s="8" t="n"/>
    </row>
    <row r="25">
      <c r="A25" s="5" t="inlineStr">
        <is>
          <t>f000154</t>
        </is>
      </c>
      <c r="B25" s="5" t="n">
        <v>1897</v>
      </c>
      <c r="C25" s="5" t="n">
        <v>1717</v>
      </c>
      <c r="D25" s="5" t="inlineStr">
        <is>
          <t>{F3C6E0AA-DC43-46B0-9BBD-B22D1A9461DF}</t>
        </is>
      </c>
      <c r="E25" s="5" t="inlineStr">
        <is>
          <t>Toksook Bay</t>
        </is>
      </c>
      <c r="F25" s="5" t="inlineStr">
        <is>
          <t>latitude;longitude</t>
        </is>
      </c>
      <c r="G25" s="5" t="n">
        <v>65.332712</v>
      </c>
      <c r="H25" s="5" t="n">
        <v>-166.494224</v>
      </c>
      <c r="I25" s="5" t="n">
        <v>60.52867</v>
      </c>
      <c r="J25" s="5" t="n">
        <v>-165.10579</v>
      </c>
      <c r="K25" s="5" t="inlineStr">
        <is>
          <t>65.33271165,-166.49422415</t>
        </is>
      </c>
      <c r="L25" s="5" t="inlineStr">
        <is>
          <t>60.52867,-165.10579</t>
        </is>
      </c>
      <c r="M25" s="5" t="inlineStr">
        <is>
          <t>medium</t>
        </is>
      </c>
      <c r="N25" s="6" t="inlineStr">
        <is>
          <t>Exact point shared with facilities of ['Brevig Mission', 'Chevak', 'Nightmute', 'Stebbins', 'Tununak']; the build merges the stack into ONE site labelled by the first CSV row (consolidate_facilities). Proposed = medoid of own-label sites.</t>
        </is>
      </c>
      <c r="O25" s="5" t="inlineStr">
        <is>
          <t>unchanged</t>
        </is>
      </c>
      <c r="P25" s="5" t="n">
        <v>65.3327</v>
      </c>
      <c r="Q25" s="5" t="n">
        <v>-166.4942</v>
      </c>
      <c r="R25" s="7">
        <f>HYPERLINK("https://www.google.com/maps?q=65.332712,-166.494224","map: stored")</f>
        <v/>
      </c>
      <c r="S25" s="7">
        <f>HYPERLINK("https://www.google.com/maps?q=60.528670,-165.105790","map: proposed")</f>
        <v/>
      </c>
      <c r="T25" s="8" t="n"/>
      <c r="U25" s="8" t="n"/>
      <c r="V25" s="8" t="n"/>
      <c r="W25" s="8" t="n"/>
      <c r="X25" s="8" t="n"/>
    </row>
    <row r="26">
      <c r="A26" s="5" t="inlineStr">
        <is>
          <t>f000505</t>
        </is>
      </c>
      <c r="B26" s="5" t="n">
        <v>1913</v>
      </c>
      <c r="C26" s="5" t="n">
        <v>1739</v>
      </c>
      <c r="D26" s="5" t="inlineStr">
        <is>
          <t>{60EDEA84-04E5-4ED4-912D-1CDA85E970A2}</t>
        </is>
      </c>
      <c r="E26" s="5" t="inlineStr">
        <is>
          <t>Tununak</t>
        </is>
      </c>
      <c r="F26" s="5" t="inlineStr">
        <is>
          <t>latitude;longitude</t>
        </is>
      </c>
      <c r="G26" s="5" t="n">
        <v>65.332712</v>
      </c>
      <c r="H26" s="5" t="n">
        <v>-166.494224</v>
      </c>
      <c r="I26" s="5" t="n">
        <v>60.5861</v>
      </c>
      <c r="J26" s="5" t="n">
        <v>-165.25553</v>
      </c>
      <c r="K26" s="5" t="inlineStr">
        <is>
          <t>65.33271165,-166.49422415</t>
        </is>
      </c>
      <c r="L26" s="5" t="inlineStr">
        <is>
          <t>60.5861,-165.25553</t>
        </is>
      </c>
      <c r="M26" s="5" t="inlineStr">
        <is>
          <t>medium</t>
        </is>
      </c>
      <c r="N26" s="6" t="inlineStr">
        <is>
          <t>Exact point shared with facilities of ['Brevig Mission', 'Chevak', 'Nightmute', 'Stebbins', 'Toksook Bay']; the build merges the stack into ONE site labelled by the first CSV row (consolidate_facilities). Proposed = medoid of own-label sites.</t>
        </is>
      </c>
      <c r="O26" s="5" t="inlineStr">
        <is>
          <t>unchanged</t>
        </is>
      </c>
      <c r="P26" s="5" t="n">
        <v>65.3327</v>
      </c>
      <c r="Q26" s="5" t="n">
        <v>-166.4942</v>
      </c>
      <c r="R26" s="7">
        <f>HYPERLINK("https://www.google.com/maps?q=65.332712,-166.494224","map: stored")</f>
        <v/>
      </c>
      <c r="S26" s="7">
        <f>HYPERLINK("https://www.google.com/maps?q=60.586100,-165.255530","map: proposed")</f>
        <v/>
      </c>
      <c r="T26" s="8" t="n"/>
      <c r="U26" s="8" t="n"/>
      <c r="V26" s="8" t="n"/>
      <c r="W26" s="8" t="n"/>
      <c r="X26" s="8" t="n"/>
    </row>
    <row r="27">
      <c r="A27" s="5" t="inlineStr">
        <is>
          <t>f001572</t>
        </is>
      </c>
      <c r="B27" s="5" t="n">
        <v>1811</v>
      </c>
      <c r="C27" s="5" t="n">
        <v>1499</v>
      </c>
      <c r="D27" s="5" t="inlineStr">
        <is>
          <t>{7A206A94-00D4-4121-BA0A-35593A0FADDC}</t>
        </is>
      </c>
      <c r="E27" s="5" t="inlineStr">
        <is>
          <t>Saint Michael</t>
        </is>
      </c>
      <c r="F27" s="5" t="inlineStr">
        <is>
          <t>latitude;longitude</t>
        </is>
      </c>
      <c r="G27" s="5" t="n">
        <v>65.33289499999999</v>
      </c>
      <c r="H27" s="5" t="n">
        <v>-166.486424</v>
      </c>
      <c r="I27" s="5" t="n">
        <v>63.47875</v>
      </c>
      <c r="J27" s="5" t="n">
        <v>-162.03857</v>
      </c>
      <c r="K27" s="5" t="inlineStr">
        <is>
          <t>65.33289523,-166.48642428</t>
        </is>
      </c>
      <c r="L27" s="5" t="inlineStr">
        <is>
          <t>63.47875,-162.03857</t>
        </is>
      </c>
      <c r="M27" s="5" t="inlineStr">
        <is>
          <t>medium</t>
        </is>
      </c>
      <c r="N27" s="6" t="inlineStr">
        <is>
          <t>Exact point shared with facilities of ['Savoonga', 'Teller']; the build merges the stack into ONE site labelled by the first CSV row (consolidate_facilities). Proposed = medoid of own-label sites.</t>
        </is>
      </c>
      <c r="O27" s="5" t="inlineStr">
        <is>
          <t>unchanged</t>
        </is>
      </c>
      <c r="P27" s="5" t="n">
        <v>65.33289000000001</v>
      </c>
      <c r="Q27" s="5" t="n">
        <v>-166.48639</v>
      </c>
      <c r="R27" s="7">
        <f>HYPERLINK("https://www.google.com/maps?q=65.332895,-166.486424","map: stored")</f>
        <v/>
      </c>
      <c r="S27" s="7">
        <f>HYPERLINK("https://www.google.com/maps?q=63.478750,-162.038570","map: proposed")</f>
        <v/>
      </c>
      <c r="T27" s="8" t="n"/>
      <c r="U27" s="8" t="n"/>
      <c r="V27" s="8" t="n"/>
      <c r="W27" s="8" t="n"/>
      <c r="X27" s="8" t="n"/>
    </row>
    <row r="28">
      <c r="A28" s="5" t="inlineStr">
        <is>
          <t>f000443</t>
        </is>
      </c>
      <c r="B28" s="5" t="n">
        <v>1812</v>
      </c>
      <c r="C28" s="5" t="n">
        <v>1500</v>
      </c>
      <c r="D28" s="5" t="inlineStr">
        <is>
          <t>{E4603DF1-062E-46B4-B972-86EC06249D23}</t>
        </is>
      </c>
      <c r="E28" s="5" t="inlineStr">
        <is>
          <t>Saint Michael</t>
        </is>
      </c>
      <c r="F28" s="5" t="inlineStr">
        <is>
          <t>latitude;longitude</t>
        </is>
      </c>
      <c r="G28" s="5" t="n">
        <v>65.33289499999999</v>
      </c>
      <c r="H28" s="5" t="n">
        <v>-166.486424</v>
      </c>
      <c r="I28" s="5" t="n">
        <v>63.47875</v>
      </c>
      <c r="J28" s="5" t="n">
        <v>-162.03857</v>
      </c>
      <c r="K28" s="5" t="inlineStr">
        <is>
          <t>65.33289523,-166.48642428</t>
        </is>
      </c>
      <c r="L28" s="5" t="inlineStr">
        <is>
          <t>63.47875,-162.03857</t>
        </is>
      </c>
      <c r="M28" s="5" t="inlineStr">
        <is>
          <t>medium</t>
        </is>
      </c>
      <c r="N28" s="6" t="inlineStr">
        <is>
          <t>Exact point shared with facilities of ['Savoonga', 'Teller']; the build merges the stack into ONE site labelled by the first CSV row (consolidate_facilities). Proposed = medoid of own-label sites.</t>
        </is>
      </c>
      <c r="O28" s="5" t="inlineStr">
        <is>
          <t>removed in 2025 file</t>
        </is>
      </c>
      <c r="P28" s="5" t="n"/>
      <c r="Q28" s="5" t="n"/>
      <c r="R28" s="7">
        <f>HYPERLINK("https://www.google.com/maps?q=65.332895,-166.486424","map: stored")</f>
        <v/>
      </c>
      <c r="S28" s="7">
        <f>HYPERLINK("https://www.google.com/maps?q=63.478750,-162.038570","map: proposed")</f>
        <v/>
      </c>
      <c r="T28" s="8" t="n"/>
      <c r="U28" s="8" t="n"/>
      <c r="V28" s="8" t="n"/>
      <c r="W28" s="8" t="n"/>
      <c r="X28" s="8" t="n"/>
    </row>
    <row r="29">
      <c r="A29" s="5" t="inlineStr">
        <is>
          <t>f000139</t>
        </is>
      </c>
      <c r="B29" s="5" t="n">
        <v>1826</v>
      </c>
      <c r="C29" s="5" t="n">
        <v>1527</v>
      </c>
      <c r="D29" s="5" t="inlineStr">
        <is>
          <t>{8970B1E0-DE4E-4A98-8A1B-5C858F18F05A}</t>
        </is>
      </c>
      <c r="E29" s="5" t="inlineStr">
        <is>
          <t>Savoonga</t>
        </is>
      </c>
      <c r="F29" s="5" t="inlineStr">
        <is>
          <t>latitude;longitude</t>
        </is>
      </c>
      <c r="G29" s="5" t="n">
        <v>65.33289499999999</v>
      </c>
      <c r="H29" s="5" t="n">
        <v>-166.486424</v>
      </c>
      <c r="I29" s="5" t="n">
        <v>63.69529</v>
      </c>
      <c r="J29" s="5" t="n">
        <v>-170.48242</v>
      </c>
      <c r="K29" s="5" t="inlineStr">
        <is>
          <t>65.33289523,-166.48642428</t>
        </is>
      </c>
      <c r="L29" s="5" t="inlineStr">
        <is>
          <t>63.69529,-170.48242</t>
        </is>
      </c>
      <c r="M29" s="5" t="inlineStr">
        <is>
          <t>medium</t>
        </is>
      </c>
      <c r="N29" s="6" t="inlineStr">
        <is>
          <t>Exact point shared with facilities of ['Saint Michael', 'Teller']; the build merges the stack into ONE site labelled by the first CSV row (consolidate_facilities). Proposed = medoid of own-label sites.</t>
        </is>
      </c>
      <c r="O29" s="5" t="inlineStr">
        <is>
          <t>unchanged</t>
        </is>
      </c>
      <c r="P29" s="5" t="n">
        <v>65.33289000000001</v>
      </c>
      <c r="Q29" s="5" t="n">
        <v>-166.48639</v>
      </c>
      <c r="R29" s="7">
        <f>HYPERLINK("https://www.google.com/maps?q=65.332895,-166.486424","map: stored")</f>
        <v/>
      </c>
      <c r="S29" s="7">
        <f>HYPERLINK("https://www.google.com/maps?q=63.695290,-170.482420","map: proposed")</f>
        <v/>
      </c>
      <c r="T29" s="8" t="n"/>
      <c r="U29" s="8" t="n"/>
      <c r="V29" s="8" t="n"/>
      <c r="W29" s="8" t="n"/>
      <c r="X29" s="8" t="n"/>
    </row>
    <row r="30">
      <c r="A30" s="5" t="inlineStr">
        <is>
          <t>f001581</t>
        </is>
      </c>
      <c r="B30" s="5" t="n">
        <v>1375</v>
      </c>
      <c r="C30" s="5" t="n">
        <v>379</v>
      </c>
      <c r="D30" s="5" t="inlineStr">
        <is>
          <t>{D87C846D-981B-4E88-AB27-A2DDBF25E98C}</t>
        </is>
      </c>
      <c r="E30" s="5" t="inlineStr">
        <is>
          <t>Chefornak</t>
        </is>
      </c>
      <c r="F30" s="5" t="inlineStr">
        <is>
          <t>latitude;longitude</t>
        </is>
      </c>
      <c r="G30" s="5" t="n">
        <v>65.97995</v>
      </c>
      <c r="H30" s="5" t="n">
        <v>-161.131753</v>
      </c>
      <c r="I30" s="5" t="n">
        <v>60.15795</v>
      </c>
      <c r="J30" s="5" t="n">
        <v>-164.2801</v>
      </c>
      <c r="K30" s="5" t="inlineStr">
        <is>
          <t>65.97994995,-161.13175297</t>
        </is>
      </c>
      <c r="L30" s="5" t="inlineStr">
        <is>
          <t>60.15795,-164.2801</t>
        </is>
      </c>
      <c r="M30" s="5" t="inlineStr">
        <is>
          <t>medium</t>
        </is>
      </c>
      <c r="N30" s="6" t="inlineStr">
        <is>
          <t>Exact point shared with facilities of ['Buckland', 'Kongiganak', 'Koyukuk', 'Kwigillingok']; the build merges the stack into ONE site labelled by the first CSV row (consolidate_facilities). Proposed = medoid of own-label sites.</t>
        </is>
      </c>
      <c r="O30" s="5" t="inlineStr">
        <is>
          <t>unchanged</t>
        </is>
      </c>
      <c r="P30" s="5" t="n">
        <v>65.97992000000001</v>
      </c>
      <c r="Q30" s="5" t="n">
        <v>-161.13177</v>
      </c>
      <c r="R30" s="7">
        <f>HYPERLINK("https://www.google.com/maps?q=65.979950,-161.131753","map: stored")</f>
        <v/>
      </c>
      <c r="S30" s="7">
        <f>HYPERLINK("https://www.google.com/maps?q=60.157950,-164.280100","map: proposed")</f>
        <v/>
      </c>
      <c r="T30" s="8" t="n"/>
      <c r="U30" s="8" t="n"/>
      <c r="V30" s="8" t="n"/>
      <c r="W30" s="8" t="n"/>
      <c r="X30" s="8" t="n"/>
    </row>
    <row r="31">
      <c r="A31" s="5" t="inlineStr">
        <is>
          <t>f000391</t>
        </is>
      </c>
      <c r="B31" s="5" t="n">
        <v>1605</v>
      </c>
      <c r="C31" s="5" t="n">
        <v>1052</v>
      </c>
      <c r="D31" s="5" t="inlineStr">
        <is>
          <t>{5966569A-E364-492E-AF3E-4EE7DCE3828B}</t>
        </is>
      </c>
      <c r="E31" s="5" t="inlineStr">
        <is>
          <t>Kongiganak</t>
        </is>
      </c>
      <c r="F31" s="5" t="inlineStr">
        <is>
          <t>latitude;longitude</t>
        </is>
      </c>
      <c r="G31" s="5" t="n">
        <v>65.97995</v>
      </c>
      <c r="H31" s="5" t="n">
        <v>-161.131753</v>
      </c>
      <c r="I31" s="5" t="n">
        <v>59.95892</v>
      </c>
      <c r="J31" s="5" t="n">
        <v>-162.88771</v>
      </c>
      <c r="K31" s="5" t="inlineStr">
        <is>
          <t>65.97994995,-161.13175297</t>
        </is>
      </c>
      <c r="L31" s="5" t="inlineStr">
        <is>
          <t>59.95892,-162.88771</t>
        </is>
      </c>
      <c r="M31" s="5" t="inlineStr">
        <is>
          <t>medium</t>
        </is>
      </c>
      <c r="N31" s="6" t="inlineStr">
        <is>
          <t>Exact point shared with facilities of ['Buckland', 'Chefornak', 'Koyukuk', 'Kwigillingok']; the build merges the stack into ONE site labelled by the first CSV row (consolidate_facilities). Proposed = medoid of own-label sites.</t>
        </is>
      </c>
      <c r="O31" s="5" t="inlineStr">
        <is>
          <t>unchanged</t>
        </is>
      </c>
      <c r="P31" s="5" t="n">
        <v>65.97992000000001</v>
      </c>
      <c r="Q31" s="5" t="n">
        <v>-161.13177</v>
      </c>
      <c r="R31" s="7">
        <f>HYPERLINK("https://www.google.com/maps?q=65.979950,-161.131753","map: stored")</f>
        <v/>
      </c>
      <c r="S31" s="7">
        <f>HYPERLINK("https://www.google.com/maps?q=59.958920,-162.887710","map: proposed")</f>
        <v/>
      </c>
      <c r="T31" s="8" t="n"/>
      <c r="U31" s="8" t="n"/>
      <c r="V31" s="8" t="n"/>
      <c r="W31" s="8" t="n"/>
      <c r="X31" s="8" t="n"/>
    </row>
    <row r="32">
      <c r="A32" s="5" t="inlineStr">
        <is>
          <t>f001518</t>
        </is>
      </c>
      <c r="B32" s="5" t="n">
        <v>1614</v>
      </c>
      <c r="C32" s="5" t="n">
        <v>1081</v>
      </c>
      <c r="D32" s="5" t="inlineStr">
        <is>
          <t>{63C660C1-0960-4011-81E0-33F443CB730D}</t>
        </is>
      </c>
      <c r="E32" s="5" t="inlineStr">
        <is>
          <t>Koyukuk</t>
        </is>
      </c>
      <c r="F32" s="5" t="inlineStr">
        <is>
          <t>latitude;longitude</t>
        </is>
      </c>
      <c r="G32" s="5" t="n">
        <v>65.97995</v>
      </c>
      <c r="H32" s="5" t="n">
        <v>-161.131753</v>
      </c>
      <c r="I32" s="5" t="n">
        <v>64.88158</v>
      </c>
      <c r="J32" s="5" t="n">
        <v>-157.7057</v>
      </c>
      <c r="K32" s="5" t="inlineStr">
        <is>
          <t>65.97994995,-161.13175297</t>
        </is>
      </c>
      <c r="L32" s="5" t="inlineStr">
        <is>
          <t>64.88158,-157.7057</t>
        </is>
      </c>
      <c r="M32" s="5" t="inlineStr">
        <is>
          <t>medium</t>
        </is>
      </c>
      <c r="N32" s="6" t="inlineStr">
        <is>
          <t>Exact point shared with facilities of ['Buckland', 'Chefornak', 'Kongiganak', 'Kwigillingok']; the build merges the stack into ONE site labelled by the first CSV row (consolidate_facilities). Proposed = medoid of own-label sites.</t>
        </is>
      </c>
      <c r="O32" s="5" t="inlineStr">
        <is>
          <t>unchanged</t>
        </is>
      </c>
      <c r="P32" s="5" t="n">
        <v>65.97992000000001</v>
      </c>
      <c r="Q32" s="5" t="n">
        <v>-161.13177</v>
      </c>
      <c r="R32" s="7">
        <f>HYPERLINK("https://www.google.com/maps?q=65.979950,-161.131753","map: stored")</f>
        <v/>
      </c>
      <c r="S32" s="7">
        <f>HYPERLINK("https://www.google.com/maps?q=64.881580,-157.705700","map: proposed")</f>
        <v/>
      </c>
      <c r="T32" s="8" t="n"/>
      <c r="U32" s="8" t="n"/>
      <c r="V32" s="8" t="n"/>
      <c r="W32" s="8" t="n"/>
      <c r="X32" s="8" t="n"/>
    </row>
    <row r="33">
      <c r="A33" s="5" t="inlineStr">
        <is>
          <t>f000435</t>
        </is>
      </c>
      <c r="B33" s="5" t="n">
        <v>1618</v>
      </c>
      <c r="C33" s="5" t="n">
        <v>1095</v>
      </c>
      <c r="D33" s="5" t="inlineStr">
        <is>
          <t>{BA9A56A1-5224-45F0-B0DD-070DBFFB2559}</t>
        </is>
      </c>
      <c r="E33" s="5" t="inlineStr">
        <is>
          <t>Kwigillingok</t>
        </is>
      </c>
      <c r="F33" s="5" t="inlineStr">
        <is>
          <t>latitude;longitude</t>
        </is>
      </c>
      <c r="G33" s="5" t="n">
        <v>65.97995</v>
      </c>
      <c r="H33" s="5" t="n">
        <v>-161.131753</v>
      </c>
      <c r="I33" s="5" t="n">
        <v>59.88183</v>
      </c>
      <c r="J33" s="5" t="n">
        <v>-163.15163</v>
      </c>
      <c r="K33" s="5" t="inlineStr">
        <is>
          <t>65.97994995,-161.13175297</t>
        </is>
      </c>
      <c r="L33" s="5" t="inlineStr">
        <is>
          <t>59.88183,-163.15163</t>
        </is>
      </c>
      <c r="M33" s="5" t="inlineStr">
        <is>
          <t>medium</t>
        </is>
      </c>
      <c r="N33" s="6" t="inlineStr">
        <is>
          <t>Exact point shared with facilities of ['Buckland', 'Chefornak', 'Kongiganak', 'Koyukuk']; the build merges the stack into ONE site labelled by the first CSV row (consolidate_facilities). Proposed = medoid of own-label sites.</t>
        </is>
      </c>
      <c r="O33" s="5" t="inlineStr">
        <is>
          <t>unchanged</t>
        </is>
      </c>
      <c r="P33" s="5" t="n">
        <v>65.97992000000001</v>
      </c>
      <c r="Q33" s="5" t="n">
        <v>-161.13177</v>
      </c>
      <c r="R33" s="7">
        <f>HYPERLINK("https://www.google.com/maps?q=65.979950,-161.131753","map: stored")</f>
        <v/>
      </c>
      <c r="S33" s="7">
        <f>HYPERLINK("https://www.google.com/maps?q=59.881830,-163.151630","map: proposed")</f>
        <v/>
      </c>
      <c r="T33" s="8" t="n"/>
      <c r="U33" s="8" t="n"/>
      <c r="V33" s="8" t="n"/>
      <c r="W33" s="8" t="n"/>
      <c r="X33" s="8" t="n"/>
    </row>
    <row r="34">
      <c r="A34" s="5" t="inlineStr">
        <is>
          <t>f000227</t>
        </is>
      </c>
      <c r="B34" s="5" t="n">
        <v>1578</v>
      </c>
      <c r="C34" s="5" t="n">
        <v>969</v>
      </c>
      <c r="D34" s="5" t="inlineStr">
        <is>
          <t>{E3EF8439-0613-41E1-B9C0-DC105BB3B3C0}</t>
        </is>
      </c>
      <c r="E34" s="5" t="inlineStr">
        <is>
          <t>Kiana</t>
        </is>
      </c>
      <c r="F34" s="5" t="inlineStr">
        <is>
          <t>latitude;longitude</t>
        </is>
      </c>
      <c r="G34" s="5" t="n">
        <v>65.980507</v>
      </c>
      <c r="H34" s="5" t="n">
        <v>-161.138453</v>
      </c>
      <c r="I34" s="5" t="n">
        <v>66.97022</v>
      </c>
      <c r="J34" s="5" t="n">
        <v>-160.44308</v>
      </c>
      <c r="K34" s="5" t="inlineStr">
        <is>
          <t>65.98050676,-161.13845313</t>
        </is>
      </c>
      <c r="L34" s="5" t="inlineStr">
        <is>
          <t>66.97022,-160.44308</t>
        </is>
      </c>
      <c r="M34" s="5" t="inlineStr">
        <is>
          <t>medium</t>
        </is>
      </c>
      <c r="N34" s="6" t="inlineStr">
        <is>
          <t>Exact point shared with facilities of ['Selawik']; the build merges the stack into ONE site labelled by the first CSV row (consolidate_facilities). Proposed = medoid of own-label sites.</t>
        </is>
      </c>
      <c r="O34" s="5" t="inlineStr">
        <is>
          <t>unchanged</t>
        </is>
      </c>
      <c r="P34" s="5" t="n">
        <v>65.98053</v>
      </c>
      <c r="Q34" s="5" t="n">
        <v>-161.13843</v>
      </c>
      <c r="R34" s="7">
        <f>HYPERLINK("https://www.google.com/maps?q=65.980507,-161.138453","map: stored")</f>
        <v/>
      </c>
      <c r="S34" s="7">
        <f>HYPERLINK("https://www.google.com/maps?q=66.970220,-160.443080","map: proposed")</f>
        <v/>
      </c>
      <c r="T34" s="8" t="n"/>
      <c r="U34" s="8" t="n"/>
      <c r="V34" s="8" t="n"/>
      <c r="W34" s="8" t="n"/>
      <c r="X34" s="8" t="n"/>
    </row>
    <row r="35">
      <c r="A35" s="5" t="inlineStr">
        <is>
          <t>f000090</t>
        </is>
      </c>
      <c r="B35" s="5" t="n">
        <v>1838</v>
      </c>
      <c r="C35" s="5" t="n">
        <v>1549</v>
      </c>
      <c r="D35" s="5" t="inlineStr">
        <is>
          <t>{A5398AFB-3BA8-40B9-8A1A-2886C4335A54}</t>
        </is>
      </c>
      <c r="E35" s="5" t="inlineStr">
        <is>
          <t>Selawik</t>
        </is>
      </c>
      <c r="F35" s="5" t="inlineStr">
        <is>
          <t>latitude;longitude</t>
        </is>
      </c>
      <c r="G35" s="5" t="n">
        <v>65.980507</v>
      </c>
      <c r="H35" s="5" t="n">
        <v>-161.138453</v>
      </c>
      <c r="I35" s="5" t="n">
        <v>66.60505999999999</v>
      </c>
      <c r="J35" s="5" t="n">
        <v>-160.01359</v>
      </c>
      <c r="K35" s="5" t="inlineStr">
        <is>
          <t>65.98050676,-161.13845313</t>
        </is>
      </c>
      <c r="L35" s="5" t="inlineStr">
        <is>
          <t>66.60506,-160.01359</t>
        </is>
      </c>
      <c r="M35" s="5" t="inlineStr">
        <is>
          <t>medium</t>
        </is>
      </c>
      <c r="N35" s="6" t="inlineStr">
        <is>
          <t>Exact point shared with facilities of ['Kiana']; the build merges the stack into ONE site labelled by the first CSV row (consolidate_facilities). Proposed = medoid of own-label sites.</t>
        </is>
      </c>
      <c r="O35" s="5" t="inlineStr">
        <is>
          <t>unchanged</t>
        </is>
      </c>
      <c r="P35" s="5" t="n">
        <v>65.98053</v>
      </c>
      <c r="Q35" s="5" t="n">
        <v>-161.13843</v>
      </c>
      <c r="R35" s="7">
        <f>HYPERLINK("https://www.google.com/maps?q=65.980507,-161.138453","map: stored")</f>
        <v/>
      </c>
      <c r="S35" s="7">
        <f>HYPERLINK("https://www.google.com/maps?q=66.605060,-160.013590","map: proposed")</f>
        <v/>
      </c>
      <c r="T35" s="8" t="n"/>
      <c r="U35" s="8" t="n"/>
      <c r="V35" s="8" t="n"/>
      <c r="W35" s="8" t="n"/>
      <c r="X35" s="8" t="n"/>
    </row>
    <row r="36">
      <c r="A36" s="5" t="inlineStr">
        <is>
          <t>f000066</t>
        </is>
      </c>
      <c r="B36" s="5" t="n">
        <v>1475</v>
      </c>
      <c r="C36" s="5" t="n">
        <v>688</v>
      </c>
      <c r="D36" s="5" t="inlineStr">
        <is>
          <t>{F0FFCC8F-A5B7-4ADC-8C28-C7FC319FCDDB}</t>
        </is>
      </c>
      <c r="E36" s="5" t="inlineStr">
        <is>
          <t>Galena</t>
        </is>
      </c>
      <c r="F36" s="5" t="inlineStr">
        <is>
          <t>latitude;longitude</t>
        </is>
      </c>
      <c r="G36" s="5" t="n">
        <v>66.564199</v>
      </c>
      <c r="H36" s="5" t="n">
        <v>-145.257639</v>
      </c>
      <c r="I36" s="5" t="n">
        <v>64.74393000000001</v>
      </c>
      <c r="J36" s="5" t="n">
        <v>-156.87661</v>
      </c>
      <c r="K36" s="5" t="inlineStr">
        <is>
          <t>66.564199,-145.25763939</t>
        </is>
      </c>
      <c r="L36" s="5" t="inlineStr">
        <is>
          <t>64.74393,-156.87661</t>
        </is>
      </c>
      <c r="M36" s="5" t="inlineStr">
        <is>
          <t>medium</t>
        </is>
      </c>
      <c r="N36" s="6" t="inlineStr">
        <is>
          <t>Exact point shared with facilities of ['Fort Yukon']; the build merges the stack into ONE site labelled by the first CSV row (consolidate_facilities). Proposed = medoid of own-label sites.</t>
        </is>
      </c>
      <c r="O36" s="5" t="inlineStr">
        <is>
          <t>unchanged</t>
        </is>
      </c>
      <c r="P36" s="5" t="n">
        <v>66.56426999999999</v>
      </c>
      <c r="Q36" s="5" t="n">
        <v>-145.25763</v>
      </c>
      <c r="R36" s="7">
        <f>HYPERLINK("https://www.google.com/maps?q=66.564199,-145.257639","map: stored")</f>
        <v/>
      </c>
      <c r="S36" s="7">
        <f>HYPERLINK("https://www.google.com/maps?q=64.743930,-156.876610","map: proposed")</f>
        <v/>
      </c>
      <c r="T36" s="8" t="n"/>
      <c r="U36" s="8" t="n"/>
      <c r="V36" s="8" t="n"/>
      <c r="W36" s="8" t="n"/>
      <c r="X36" s="8" t="n"/>
    </row>
    <row r="37">
      <c r="A37" s="5" t="inlineStr">
        <is>
          <t>f001486</t>
        </is>
      </c>
      <c r="B37" s="5" t="n">
        <v>1471</v>
      </c>
      <c r="C37" s="5" t="n">
        <v>684</v>
      </c>
      <c r="D37" s="5" t="inlineStr">
        <is>
          <t>{D16B7CA0-CE7A-4D65-864E-5B2599DECFA6}</t>
        </is>
      </c>
      <c r="E37" s="5" t="inlineStr">
        <is>
          <t>Galena</t>
        </is>
      </c>
      <c r="F37" s="5" t="inlineStr">
        <is>
          <t>latitude;longitude</t>
        </is>
      </c>
      <c r="G37" s="5" t="n">
        <v>66.56796199999999</v>
      </c>
      <c r="H37" s="5" t="n">
        <v>-145.25809</v>
      </c>
      <c r="I37" s="5" t="n">
        <v>64.74393000000001</v>
      </c>
      <c r="J37" s="5" t="n">
        <v>-156.87661</v>
      </c>
      <c r="K37" s="5" t="inlineStr">
        <is>
          <t>66.56796229,-145.25809</t>
        </is>
      </c>
      <c r="L37" s="5" t="inlineStr">
        <is>
          <t>64.74393,-156.87661</t>
        </is>
      </c>
      <c r="M37" s="5" t="inlineStr">
        <is>
          <t>medium</t>
        </is>
      </c>
      <c r="N37" s="6" t="inlineStr">
        <is>
          <t>Exact point shared with facilities of ['Fort Yukon']; the build merges the stack into ONE site labelled by the first CSV row (consolidate_facilities). Proposed = medoid of own-label sites.</t>
        </is>
      </c>
      <c r="O37" s="5" t="inlineStr">
        <is>
          <t>unchanged</t>
        </is>
      </c>
      <c r="P37" s="5" t="n">
        <v>66.56787</v>
      </c>
      <c r="Q37" s="5" t="n">
        <v>-145.25812</v>
      </c>
      <c r="R37" s="7">
        <f>HYPERLINK("https://www.google.com/maps?q=66.567962,-145.258090","map: stored")</f>
        <v/>
      </c>
      <c r="S37" s="7">
        <f>HYPERLINK("https://www.google.com/maps?q=64.743930,-156.876610","map: proposed")</f>
        <v/>
      </c>
      <c r="T37" s="8" t="n"/>
      <c r="U37" s="8" t="n"/>
      <c r="V37" s="8" t="n"/>
      <c r="W37" s="8" t="n"/>
      <c r="X37" s="8" t="n"/>
    </row>
    <row r="38">
      <c r="A38" s="5" t="inlineStr">
        <is>
          <t>f001339</t>
        </is>
      </c>
      <c r="B38" s="5" t="n">
        <v>1693</v>
      </c>
      <c r="C38" s="5" t="n">
        <v>1274</v>
      </c>
      <c r="D38" s="5" t="inlineStr">
        <is>
          <t>{41F25397-8168-4A24-BE43-C7E6935BB5AB}</t>
        </is>
      </c>
      <c r="E38" s="5" t="inlineStr">
        <is>
          <t>Noorvik</t>
        </is>
      </c>
      <c r="F38" s="5" t="inlineStr">
        <is>
          <t>latitude;longitude</t>
        </is>
      </c>
      <c r="G38" s="5" t="n">
        <v>66.971509</v>
      </c>
      <c r="H38" s="5" t="n">
        <v>-160.438257</v>
      </c>
      <c r="I38" s="5" t="n">
        <v>66.83374999999999</v>
      </c>
      <c r="J38" s="5" t="n">
        <v>-161.039</v>
      </c>
      <c r="K38" s="5" t="inlineStr">
        <is>
          <t>66.97150852,-160.43825735</t>
        </is>
      </c>
      <c r="L38" s="5" t="inlineStr">
        <is>
          <t>66.83375,-161.039</t>
        </is>
      </c>
      <c r="M38" s="5" t="inlineStr">
        <is>
          <t>medium</t>
        </is>
      </c>
      <c r="N38" s="6" t="inlineStr">
        <is>
          <t>Exact point shared with facilities of ['Kiana']; the build merges the stack into ONE site labelled by the first CSV row (consolidate_facilities). Proposed = medoid of own-label sites.</t>
        </is>
      </c>
      <c r="O38" s="5" t="inlineStr">
        <is>
          <t>map point corrected Dec 2025</t>
        </is>
      </c>
      <c r="P38" s="5" t="n">
        <v>66.83289000000001</v>
      </c>
      <c r="Q38" s="5" t="n">
        <v>-161.04431</v>
      </c>
      <c r="R38" s="7">
        <f>HYPERLINK("https://www.google.com/maps?q=66.971509,-160.438257","map: stored")</f>
        <v/>
      </c>
      <c r="S38" s="7">
        <f>HYPERLINK("https://www.google.com/maps?q=66.833750,-161.039000","map: proposed")</f>
        <v/>
      </c>
      <c r="T38" s="8" t="n"/>
      <c r="U38" s="8" t="n"/>
      <c r="V38" s="8" t="n"/>
      <c r="W38" s="8" t="n"/>
      <c r="X38" s="8" t="n"/>
    </row>
    <row r="39">
      <c r="A39" s="5" t="inlineStr">
        <is>
          <t>f001746</t>
        </is>
      </c>
      <c r="B39" s="5" t="n">
        <v>1696</v>
      </c>
      <c r="C39" s="5" t="n">
        <v>1277</v>
      </c>
      <c r="D39" s="5" t="inlineStr">
        <is>
          <t>{74D2D10D-C73A-4939-AF83-A4D6FE538506}</t>
        </is>
      </c>
      <c r="E39" s="5" t="inlineStr">
        <is>
          <t>Noorvik</t>
        </is>
      </c>
      <c r="F39" s="5" t="inlineStr">
        <is>
          <t>latitude;longitude</t>
        </is>
      </c>
      <c r="G39" s="5" t="n">
        <v>66.971509</v>
      </c>
      <c r="H39" s="5" t="n">
        <v>-160.438257</v>
      </c>
      <c r="I39" s="5" t="n">
        <v>66.83374999999999</v>
      </c>
      <c r="J39" s="5" t="n">
        <v>-161.039</v>
      </c>
      <c r="K39" s="5" t="inlineStr">
        <is>
          <t>66.97150852,-160.43825735</t>
        </is>
      </c>
      <c r="L39" s="5" t="inlineStr">
        <is>
          <t>66.83375,-161.039</t>
        </is>
      </c>
      <c r="M39" s="5" t="inlineStr">
        <is>
          <t>medium</t>
        </is>
      </c>
      <c r="N39" s="6" t="inlineStr">
        <is>
          <t>Exact point shared with facilities of ['Kiana']; the build merges the stack into ONE site labelled by the first CSV row (consolidate_facilities). Proposed = medoid of own-label sites.</t>
        </is>
      </c>
      <c r="O39" s="5" t="inlineStr">
        <is>
          <t>removed in 2025 file</t>
        </is>
      </c>
      <c r="P39" s="5" t="n"/>
      <c r="Q39" s="5" t="n"/>
      <c r="R39" s="7">
        <f>HYPERLINK("https://www.google.com/maps?q=66.971509,-160.438257","map: stored")</f>
        <v/>
      </c>
      <c r="S39" s="7">
        <f>HYPERLINK("https://www.google.com/maps?q=66.833750,-161.039000","map: proposed")</f>
        <v/>
      </c>
      <c r="T39" s="8" t="n"/>
      <c r="U39" s="8" t="n"/>
      <c r="V39" s="8" t="n"/>
      <c r="W39" s="8" t="n"/>
      <c r="X39" s="8" t="n"/>
    </row>
    <row r="40">
      <c r="A40" s="5" t="inlineStr">
        <is>
          <t>f001422</t>
        </is>
      </c>
      <c r="B40" s="5" t="n">
        <v>1834</v>
      </c>
      <c r="C40" s="5" t="n">
        <v>1545</v>
      </c>
      <c r="D40" s="5" t="inlineStr">
        <is>
          <t>{2A288E05-E61D-4E46-AE4D-C7D9102802EA}</t>
        </is>
      </c>
      <c r="E40" s="5" t="inlineStr">
        <is>
          <t>Selawik</t>
        </is>
      </c>
      <c r="F40" s="5" t="inlineStr">
        <is>
          <t>latitude;longitude</t>
        </is>
      </c>
      <c r="G40" s="5" t="n">
        <v>66.97392600000001</v>
      </c>
      <c r="H40" s="5" t="n">
        <v>-160.429116</v>
      </c>
      <c r="I40" s="5" t="n">
        <v>66.60505999999999</v>
      </c>
      <c r="J40" s="5" t="n">
        <v>-160.01359</v>
      </c>
      <c r="K40" s="5" t="inlineStr">
        <is>
          <t>66.97392587,-160.42911638</t>
        </is>
      </c>
      <c r="L40" s="5" t="inlineStr">
        <is>
          <t>66.60506,-160.01359</t>
        </is>
      </c>
      <c r="M40" s="5" t="inlineStr">
        <is>
          <t>medium</t>
        </is>
      </c>
      <c r="N40" s="6" t="inlineStr">
        <is>
          <t>Exact point shared with facilities of ['Kiana']; the build merges the stack into ONE site labelled by the first CSV row (consolidate_facilities). Proposed = medoid of own-label sites.</t>
        </is>
      </c>
      <c r="O40" s="5" t="inlineStr">
        <is>
          <t>unchanged</t>
        </is>
      </c>
      <c r="P40" s="5" t="n">
        <v>66.97387999999999</v>
      </c>
      <c r="Q40" s="5" t="n">
        <v>-160.42908</v>
      </c>
      <c r="R40" s="7">
        <f>HYPERLINK("https://www.google.com/maps?q=66.973926,-160.429116","map: stored")</f>
        <v/>
      </c>
      <c r="S40" s="7">
        <f>HYPERLINK("https://www.google.com/maps?q=66.605060,-160.013590","map: proposed")</f>
        <v/>
      </c>
      <c r="T40" s="8" t="n"/>
      <c r="U40" s="8" t="n"/>
      <c r="V40" s="8" t="n"/>
      <c r="W40" s="8" t="n"/>
      <c r="X40" s="8" t="n"/>
    </row>
    <row r="41">
      <c r="A41" s="5" t="inlineStr">
        <is>
          <t>f000216</t>
        </is>
      </c>
      <c r="B41" s="5" t="n">
        <v>1496</v>
      </c>
      <c r="C41" s="5" t="n">
        <v>754</v>
      </c>
      <c r="D41" s="5" t="inlineStr">
        <is>
          <t>{C9AFF599-4CD8-41B4-97E2-04CEFD79683A}</t>
        </is>
      </c>
      <c r="E41" s="5" t="inlineStr">
        <is>
          <t>Holy Cross</t>
        </is>
      </c>
      <c r="F41" s="5" t="inlineStr">
        <is>
          <t>latitude;longitude</t>
        </is>
      </c>
      <c r="G41" s="5" t="n">
        <v>67.087671</v>
      </c>
      <c r="H41" s="5" t="n">
        <v>-157.856722</v>
      </c>
      <c r="I41" s="5" t="n">
        <v>62.19671</v>
      </c>
      <c r="J41" s="5" t="n">
        <v>-159.77015</v>
      </c>
      <c r="K41" s="5" t="inlineStr">
        <is>
          <t>67.08767141,-157.85672217</t>
        </is>
      </c>
      <c r="L41" s="5" t="inlineStr">
        <is>
          <t>62.19671,-159.77015</t>
        </is>
      </c>
      <c r="M41" s="5" t="inlineStr">
        <is>
          <t>medium</t>
        </is>
      </c>
      <c r="N41" s="6" t="inlineStr">
        <is>
          <t>Exact point shared with facilities of ['Wales']; the build merges the stack into ONE site labelled by the first CSV row (consolidate_facilities). Proposed = medoid of own-label sites.</t>
        </is>
      </c>
      <c r="O41" s="5" t="inlineStr">
        <is>
          <t>unchanged</t>
        </is>
      </c>
      <c r="P41" s="5" t="n">
        <v>67.08771</v>
      </c>
      <c r="Q41" s="5" t="n">
        <v>-157.85669</v>
      </c>
      <c r="R41" s="7">
        <f>HYPERLINK("https://www.google.com/maps?q=67.087671,-157.856722","map: stored")</f>
        <v/>
      </c>
      <c r="S41" s="7">
        <f>HYPERLINK("https://www.google.com/maps?q=62.196710,-159.770150","map: proposed")</f>
        <v/>
      </c>
      <c r="T41" s="8" t="n"/>
      <c r="U41" s="8" t="n"/>
      <c r="V41" s="8" t="n"/>
      <c r="W41" s="8" t="n"/>
      <c r="X41" s="8" t="n"/>
    </row>
    <row r="42">
      <c r="A42" s="5" t="inlineStr">
        <is>
          <t>f000804</t>
        </is>
      </c>
      <c r="B42" s="5" t="n">
        <v>1940</v>
      </c>
      <c r="C42" s="5" t="n">
        <v>1813</v>
      </c>
      <c r="D42" s="5" t="inlineStr">
        <is>
          <t>{509CF7C1-AE7E-4289-8EFE-3298B15AD90D}</t>
        </is>
      </c>
      <c r="E42" s="5" t="inlineStr">
        <is>
          <t>Wales</t>
        </is>
      </c>
      <c r="F42" s="5" t="inlineStr">
        <is>
          <t>latitude;longitude</t>
        </is>
      </c>
      <c r="G42" s="5" t="n">
        <v>67.087671</v>
      </c>
      <c r="H42" s="5" t="n">
        <v>-157.856722</v>
      </c>
      <c r="I42" s="5" t="n">
        <v>65.60616</v>
      </c>
      <c r="J42" s="5" t="n">
        <v>-168.08752</v>
      </c>
      <c r="K42" s="5" t="inlineStr">
        <is>
          <t>67.08767141,-157.85672217</t>
        </is>
      </c>
      <c r="L42" s="5" t="inlineStr">
        <is>
          <t>65.60616,-168.08752</t>
        </is>
      </c>
      <c r="M42" s="5" t="inlineStr">
        <is>
          <t>medium</t>
        </is>
      </c>
      <c r="N42" s="6" t="inlineStr">
        <is>
          <t>Exact point shared with facilities of ['Holy Cross']; the build merges the stack into ONE site labelled by the first CSV row (consolidate_facilities). Proposed = medoid of own-label sites.</t>
        </is>
      </c>
      <c r="O42" s="5" t="inlineStr">
        <is>
          <t>unchanged</t>
        </is>
      </c>
      <c r="P42" s="5" t="n">
        <v>67.08771</v>
      </c>
      <c r="Q42" s="5" t="n">
        <v>-157.85669</v>
      </c>
      <c r="R42" s="7">
        <f>HYPERLINK("https://www.google.com/maps?q=67.087671,-157.856722","map: stored")</f>
        <v/>
      </c>
      <c r="S42" s="7">
        <f>HYPERLINK("https://www.google.com/maps?q=65.606160,-168.087520","map: proposed")</f>
        <v/>
      </c>
      <c r="T42" s="8" t="n"/>
      <c r="U42" s="8" t="n"/>
      <c r="V42" s="8" t="n"/>
      <c r="W42" s="8" t="n"/>
      <c r="X42" s="8" t="n"/>
    </row>
    <row r="43">
      <c r="A43" s="5" t="inlineStr">
        <is>
          <t>f000941</t>
        </is>
      </c>
      <c r="B43" s="5" t="n">
        <v>1937</v>
      </c>
      <c r="C43" s="5" t="n">
        <v>1808</v>
      </c>
      <c r="D43" s="5" t="inlineStr">
        <is>
          <t>{52EA8B6C-5DEE-4586-9B19-043A22000B12}</t>
        </is>
      </c>
      <c r="E43" s="5" t="inlineStr">
        <is>
          <t>Wainwright</t>
        </is>
      </c>
      <c r="F43" s="5" t="inlineStr">
        <is>
          <t>latitude;longitude</t>
        </is>
      </c>
      <c r="G43" s="5" t="n">
        <v>70.12872</v>
      </c>
      <c r="H43" s="5" t="n">
        <v>-143.622074</v>
      </c>
      <c r="I43" s="5" t="n">
        <v>70.63766</v>
      </c>
      <c r="J43" s="5" t="n">
        <v>-160.03223</v>
      </c>
      <c r="K43" s="5" t="inlineStr">
        <is>
          <t>70.12871985,-143.6220736</t>
        </is>
      </c>
      <c r="L43" s="5" t="inlineStr">
        <is>
          <t>70.63766,-160.03223</t>
        </is>
      </c>
      <c r="M43" s="5" t="inlineStr">
        <is>
          <t>medium</t>
        </is>
      </c>
      <c r="N43" s="6" t="inlineStr">
        <is>
          <t>Exact point shared with facilities of ['Kaktovik']; the build merges the stack into ONE site labelled by the first CSV row (consolidate_facilities). Proposed = medoid of own-label sites.</t>
        </is>
      </c>
      <c r="O43" s="5" t="inlineStr">
        <is>
          <t>unchanged</t>
        </is>
      </c>
      <c r="P43" s="5" t="n">
        <v>70.12872</v>
      </c>
      <c r="Q43" s="5" t="n">
        <v>-143.62201</v>
      </c>
      <c r="R43" s="7">
        <f>HYPERLINK("https://www.google.com/maps?q=70.128720,-143.622074","map: stored")</f>
        <v/>
      </c>
      <c r="S43" s="7">
        <f>HYPERLINK("https://www.google.com/maps?q=70.637660,-160.032230","map: proposed")</f>
        <v/>
      </c>
      <c r="T43" s="8" t="n"/>
      <c r="U43" s="8" t="n"/>
      <c r="V43" s="8" t="n"/>
      <c r="W43" s="8" t="n"/>
      <c r="X43" s="8" t="n"/>
    </row>
    <row r="44">
      <c r="A44" s="5" t="inlineStr">
        <is>
          <t>f001019</t>
        </is>
      </c>
      <c r="B44" s="5" t="n">
        <v>1761</v>
      </c>
      <c r="C44" s="5" t="n">
        <v>1406</v>
      </c>
      <c r="D44" s="5" t="inlineStr">
        <is>
          <t>{11C61E2B-C979-4D51-A901-5BDF8ABBF907}</t>
        </is>
      </c>
      <c r="E44" s="5" t="inlineStr">
        <is>
          <t>Point Lay</t>
        </is>
      </c>
      <c r="F44" s="5" t="inlineStr">
        <is>
          <t>latitude;longitude</t>
        </is>
      </c>
      <c r="G44" s="5" t="n">
        <v>70.129193</v>
      </c>
      <c r="H44" s="5" t="n">
        <v>-143.609572</v>
      </c>
      <c r="I44" s="5" t="n">
        <v>69.74182</v>
      </c>
      <c r="J44" s="5" t="n">
        <v>-163.01075</v>
      </c>
      <c r="K44" s="5" t="inlineStr">
        <is>
          <t>70.12919302,-143.60957182</t>
        </is>
      </c>
      <c r="L44" s="5" t="inlineStr">
        <is>
          <t>69.74182,-163.01075</t>
        </is>
      </c>
      <c r="M44" s="5" t="inlineStr">
        <is>
          <t>medium</t>
        </is>
      </c>
      <c r="N44" s="6" t="inlineStr">
        <is>
          <t>Exact point shared with facilities of ['Kaktovik']; the build merges the stack into ONE site labelled by the first CSV row (consolidate_facilities). Proposed = medoid of own-label sites.</t>
        </is>
      </c>
      <c r="O44" s="5" t="inlineStr">
        <is>
          <t>map point corrected Dec 2025</t>
        </is>
      </c>
      <c r="P44" s="5" t="n">
        <v>69.74353000000001</v>
      </c>
      <c r="Q44" s="5" t="n">
        <v>-163.00189</v>
      </c>
      <c r="R44" s="7">
        <f>HYPERLINK("https://www.google.com/maps?q=70.129193,-143.609572","map: stored")</f>
        <v/>
      </c>
      <c r="S44" s="7">
        <f>HYPERLINK("https://www.google.com/maps?q=69.741820,-163.010750","map: proposed")</f>
        <v/>
      </c>
      <c r="T44" s="8" t="n"/>
      <c r="U44" s="8" t="n"/>
      <c r="V44" s="8" t="n"/>
      <c r="W44" s="8" t="n"/>
      <c r="X44" s="8" t="n"/>
    </row>
    <row r="45">
      <c r="A45" s="5" t="inlineStr">
        <is>
          <t>f000058</t>
        </is>
      </c>
      <c r="B45" s="5" t="n">
        <v>1562</v>
      </c>
      <c r="C45" s="5" t="n">
        <v>893</v>
      </c>
      <c r="D45" s="5" t="inlineStr">
        <is>
          <t>{29A9858B-A138-476A-942F-BA787BE7179B}</t>
        </is>
      </c>
      <c r="E45" s="5" t="inlineStr">
        <is>
          <t>Kaktovik</t>
        </is>
      </c>
      <c r="F45" s="5" t="inlineStr">
        <is>
          <t>latitude;longitude</t>
        </is>
      </c>
      <c r="G45" s="5" t="n">
        <v>70.481532</v>
      </c>
      <c r="H45" s="5" t="n">
        <v>-157.42508</v>
      </c>
      <c r="I45" s="5" t="n">
        <v>70.12888</v>
      </c>
      <c r="J45" s="5" t="n">
        <v>-143.61834</v>
      </c>
      <c r="K45" s="5" t="inlineStr">
        <is>
          <t>70.48153169,-157.42508015</t>
        </is>
      </c>
      <c r="L45" s="5" t="inlineStr">
        <is>
          <t>70.12888,-143.61834</t>
        </is>
      </c>
      <c r="M45" s="5" t="inlineStr">
        <is>
          <t>medium</t>
        </is>
      </c>
      <c r="N45" s="6" t="inlineStr">
        <is>
          <t>Exact point shared with facilities of ['Atqasuk', 'Nuiqsut']; the build merges the stack into ONE site labelled by the first CSV row (consolidate_facilities). Proposed = medoid of own-label sites.</t>
        </is>
      </c>
      <c r="O45" s="5" t="inlineStr">
        <is>
          <t>unchanged</t>
        </is>
      </c>
      <c r="P45" s="5" t="n">
        <v>70.48151</v>
      </c>
      <c r="Q45" s="5" t="n">
        <v>-157.42511</v>
      </c>
      <c r="R45" s="7">
        <f>HYPERLINK("https://www.google.com/maps?q=70.481532,-157.425080","map: stored")</f>
        <v/>
      </c>
      <c r="S45" s="7">
        <f>HYPERLINK("https://www.google.com/maps?q=70.128880,-143.618340","map: proposed")</f>
        <v/>
      </c>
      <c r="T45" s="8" t="n"/>
      <c r="U45" s="8" t="n"/>
      <c r="V45" s="8" t="n"/>
      <c r="W45" s="8" t="n"/>
      <c r="X45" s="8" t="n"/>
    </row>
    <row r="46">
      <c r="A46" s="5" t="inlineStr">
        <is>
          <t>f001571</t>
        </is>
      </c>
      <c r="B46" s="5" t="n">
        <v>1716</v>
      </c>
      <c r="C46" s="5" t="n">
        <v>1310</v>
      </c>
      <c r="D46" s="5" t="inlineStr">
        <is>
          <t>{32E46B3B-A68A-4AED-A995-44AABFBA609D}</t>
        </is>
      </c>
      <c r="E46" s="5" t="inlineStr">
        <is>
          <t>Nuiqsut</t>
        </is>
      </c>
      <c r="F46" s="5" t="inlineStr">
        <is>
          <t>latitude;longitude</t>
        </is>
      </c>
      <c r="G46" s="5" t="n">
        <v>70.481532</v>
      </c>
      <c r="H46" s="5" t="n">
        <v>-157.42508</v>
      </c>
      <c r="I46" s="5" t="n">
        <v>70.21607</v>
      </c>
      <c r="J46" s="5" t="n">
        <v>-150.99798</v>
      </c>
      <c r="K46" s="5" t="inlineStr">
        <is>
          <t>70.48153169,-157.42508015</t>
        </is>
      </c>
      <c r="L46" s="5" t="inlineStr">
        <is>
          <t>70.21607,-150.99798</t>
        </is>
      </c>
      <c r="M46" s="5" t="inlineStr">
        <is>
          <t>medium</t>
        </is>
      </c>
      <c r="N46" s="6" t="inlineStr">
        <is>
          <t>Exact point shared with facilities of ['Atqasuk', 'Kaktovik']; the build merges the stack into ONE site labelled by the first CSV row (consolidate_facilities). Proposed = medoid of own-label sites.</t>
        </is>
      </c>
      <c r="O46" s="5" t="inlineStr">
        <is>
          <t>unchanged</t>
        </is>
      </c>
      <c r="P46" s="5" t="n">
        <v>70.48151</v>
      </c>
      <c r="Q46" s="5" t="n">
        <v>-157.42511</v>
      </c>
      <c r="R46" s="7">
        <f>HYPERLINK("https://www.google.com/maps?q=70.481532,-157.425080","map: stored")</f>
        <v/>
      </c>
      <c r="S46" s="7">
        <f>HYPERLINK("https://www.google.com/maps?q=70.216070,-150.997980","map: proposed")</f>
        <v/>
      </c>
      <c r="T46" s="8" t="n"/>
      <c r="U46" s="8" t="n"/>
      <c r="V46" s="8" t="n"/>
      <c r="W46" s="8" t="n"/>
      <c r="X46" s="8" t="n"/>
    </row>
    <row r="47">
      <c r="A47" s="5" t="inlineStr">
        <is>
          <t>f000052</t>
        </is>
      </c>
      <c r="B47" s="5" t="n">
        <v>1718</v>
      </c>
      <c r="C47" s="5" t="n">
        <v>1312</v>
      </c>
      <c r="D47" s="5" t="inlineStr">
        <is>
          <t>{EE035FC2-70D9-42A6-B940-D1F97F642616}</t>
        </is>
      </c>
      <c r="E47" s="5" t="inlineStr">
        <is>
          <t>Nuiqsut</t>
        </is>
      </c>
      <c r="F47" s="5" t="inlineStr">
        <is>
          <t>latitude;longitude</t>
        </is>
      </c>
      <c r="G47" s="5" t="n">
        <v>70.482405</v>
      </c>
      <c r="H47" s="5" t="n">
        <v>-157.425305</v>
      </c>
      <c r="I47" s="5" t="n">
        <v>70.21607</v>
      </c>
      <c r="J47" s="5" t="n">
        <v>-150.99798</v>
      </c>
      <c r="K47" s="5" t="inlineStr">
        <is>
          <t>70.48240452,-157.42530546</t>
        </is>
      </c>
      <c r="L47" s="5" t="inlineStr">
        <is>
          <t>70.21607,-150.99798</t>
        </is>
      </c>
      <c r="M47" s="5" t="inlineStr">
        <is>
          <t>medium</t>
        </is>
      </c>
      <c r="N47" s="6" t="inlineStr">
        <is>
          <t>Exact point shared with facilities of ['Atqasuk', 'Point Lay']; the build merges the stack into ONE site labelled by the first CSV row (consolidate_facilities). Proposed = medoid of own-label sites.</t>
        </is>
      </c>
      <c r="O47" s="5" t="inlineStr">
        <is>
          <t>unchanged</t>
        </is>
      </c>
      <c r="P47" s="5" t="n">
        <v>70.48248</v>
      </c>
      <c r="Q47" s="5" t="n">
        <v>-157.42529</v>
      </c>
      <c r="R47" s="7">
        <f>HYPERLINK("https://www.google.com/maps?q=70.482405,-157.425305","map: stored")</f>
        <v/>
      </c>
      <c r="S47" s="7">
        <f>HYPERLINK("https://www.google.com/maps?q=70.216070,-150.997980","map: proposed")</f>
        <v/>
      </c>
      <c r="T47" s="8" t="n"/>
      <c r="U47" s="8" t="n"/>
      <c r="V47" s="8" t="n"/>
      <c r="W47" s="8" t="n"/>
      <c r="X47" s="8" t="n"/>
    </row>
    <row r="48">
      <c r="A48" s="5" t="inlineStr">
        <is>
          <t>f001590</t>
        </is>
      </c>
      <c r="B48" s="5" t="n">
        <v>1762</v>
      </c>
      <c r="C48" s="5" t="n">
        <v>1407</v>
      </c>
      <c r="D48" s="5" t="inlineStr">
        <is>
          <t>{678A81B7-2420-44FE-AABF-C45E6E48CC82}</t>
        </is>
      </c>
      <c r="E48" s="5" t="inlineStr">
        <is>
          <t>Point Lay</t>
        </is>
      </c>
      <c r="F48" s="5" t="inlineStr">
        <is>
          <t>latitude;longitude</t>
        </is>
      </c>
      <c r="G48" s="5" t="n">
        <v>70.482405</v>
      </c>
      <c r="H48" s="5" t="n">
        <v>-157.425305</v>
      </c>
      <c r="I48" s="5" t="n">
        <v>69.74182</v>
      </c>
      <c r="J48" s="5" t="n">
        <v>-163.01075</v>
      </c>
      <c r="K48" s="5" t="inlineStr">
        <is>
          <t>70.48240452,-157.42530546</t>
        </is>
      </c>
      <c r="L48" s="5" t="inlineStr">
        <is>
          <t>69.74182,-163.01075</t>
        </is>
      </c>
      <c r="M48" s="5" t="inlineStr">
        <is>
          <t>medium</t>
        </is>
      </c>
      <c r="N48" s="6" t="inlineStr">
        <is>
          <t>Exact point shared with facilities of ['Atqasuk', 'Nuiqsut']; the build merges the stack into ONE site labelled by the first CSV row (consolidate_facilities). Proposed = medoid of own-label sites.</t>
        </is>
      </c>
      <c r="O48" s="5" t="inlineStr">
        <is>
          <t>unchanged</t>
        </is>
      </c>
      <c r="P48" s="5" t="n">
        <v>70.48248</v>
      </c>
      <c r="Q48" s="5" t="n">
        <v>-157.42529</v>
      </c>
      <c r="R48" s="7">
        <f>HYPERLINK("https://www.google.com/maps?q=70.482405,-157.425305","map: stored")</f>
        <v/>
      </c>
      <c r="S48" s="7">
        <f>HYPERLINK("https://www.google.com/maps?q=69.741820,-163.010750","map: proposed")</f>
        <v/>
      </c>
      <c r="T48" s="8" t="n"/>
      <c r="U48" s="8" t="n"/>
      <c r="V48" s="8" t="n"/>
      <c r="W48" s="8" t="n"/>
      <c r="X48" s="8" t="n"/>
    </row>
    <row r="49">
      <c r="A49" s="5" t="inlineStr">
        <is>
          <t>f000329</t>
        </is>
      </c>
      <c r="B49" s="5" t="n">
        <v>1560</v>
      </c>
      <c r="C49" s="5" t="n">
        <v>891</v>
      </c>
      <c r="D49" s="5" t="inlineStr">
        <is>
          <t>{CC2BF2C6-ADA9-481E-9BD6-76C5A72A34F4}</t>
        </is>
      </c>
      <c r="E49" s="5" t="inlineStr">
        <is>
          <t>Kaktovik</t>
        </is>
      </c>
      <c r="F49" s="5" t="inlineStr">
        <is>
          <t>latitude;longitude</t>
        </is>
      </c>
      <c r="G49" s="5" t="n">
        <v>70.483335</v>
      </c>
      <c r="H49" s="5" t="n">
        <v>-157.426035</v>
      </c>
      <c r="I49" s="5" t="n">
        <v>70.12888</v>
      </c>
      <c r="J49" s="5" t="n">
        <v>-143.61834</v>
      </c>
      <c r="K49" s="5" t="inlineStr">
        <is>
          <t>70.48333467,-157.42603502</t>
        </is>
      </c>
      <c r="L49" s="5" t="inlineStr">
        <is>
          <t>70.12888,-143.61834</t>
        </is>
      </c>
      <c r="M49" s="5" t="inlineStr">
        <is>
          <t>medium</t>
        </is>
      </c>
      <c r="N49" s="6" t="inlineStr">
        <is>
          <t>Exact point shared with facilities of ['Atqasuk', 'Nuiqsut', 'Point Hope', 'Point Lay']; the build merges the stack into ONE site labelled by the first CSV row (consolidate_facilities). Proposed = medoid of own-label sites.</t>
        </is>
      </c>
      <c r="O49" s="5" t="inlineStr">
        <is>
          <t>removed in 2025 file</t>
        </is>
      </c>
      <c r="P49" s="5" t="n"/>
      <c r="Q49" s="5" t="n"/>
      <c r="R49" s="7">
        <f>HYPERLINK("https://www.google.com/maps?q=70.483335,-157.426035","map: stored")</f>
        <v/>
      </c>
      <c r="S49" s="7">
        <f>HYPERLINK("https://www.google.com/maps?q=70.128880,-143.618340","map: proposed")</f>
        <v/>
      </c>
      <c r="T49" s="8" t="n"/>
      <c r="U49" s="8" t="n"/>
      <c r="V49" s="8" t="n"/>
      <c r="W49" s="8" t="n"/>
      <c r="X49" s="8" t="n"/>
    </row>
    <row r="50">
      <c r="A50" s="5" t="inlineStr">
        <is>
          <t>f000920</t>
        </is>
      </c>
      <c r="B50" s="5" t="n">
        <v>1717</v>
      </c>
      <c r="C50" s="5" t="n">
        <v>1311</v>
      </c>
      <c r="D50" s="5" t="inlineStr">
        <is>
          <t>{F5682527-F6B3-4629-A821-3EEFC8B9A7F1}</t>
        </is>
      </c>
      <c r="E50" s="5" t="inlineStr">
        <is>
          <t>Nuiqsut</t>
        </is>
      </c>
      <c r="F50" s="5" t="inlineStr">
        <is>
          <t>latitude;longitude</t>
        </is>
      </c>
      <c r="G50" s="5" t="n">
        <v>70.483335</v>
      </c>
      <c r="H50" s="5" t="n">
        <v>-157.426035</v>
      </c>
      <c r="I50" s="5" t="n">
        <v>70.21607</v>
      </c>
      <c r="J50" s="5" t="n">
        <v>-150.99798</v>
      </c>
      <c r="K50" s="5" t="inlineStr">
        <is>
          <t>70.48333467,-157.42603502</t>
        </is>
      </c>
      <c r="L50" s="5" t="inlineStr">
        <is>
          <t>70.21607,-150.99798</t>
        </is>
      </c>
      <c r="M50" s="5" t="inlineStr">
        <is>
          <t>medium</t>
        </is>
      </c>
      <c r="N50" s="6" t="inlineStr">
        <is>
          <t>Exact point shared with facilities of ['Atqasuk', 'Kaktovik', 'Point Hope', 'Point Lay']; the build merges the stack into ONE site labelled by the first CSV row (consolidate_facilities). Proposed = medoid of own-label sites.</t>
        </is>
      </c>
      <c r="O50" s="5" t="inlineStr">
        <is>
          <t>removed in 2025 file</t>
        </is>
      </c>
      <c r="P50" s="5" t="n"/>
      <c r="Q50" s="5" t="n"/>
      <c r="R50" s="7">
        <f>HYPERLINK("https://www.google.com/maps?q=70.483335,-157.426035","map: stored")</f>
        <v/>
      </c>
      <c r="S50" s="7">
        <f>HYPERLINK("https://www.google.com/maps?q=70.216070,-150.997980","map: proposed")</f>
        <v/>
      </c>
      <c r="T50" s="8" t="n"/>
      <c r="U50" s="8" t="n"/>
      <c r="V50" s="8" t="n"/>
      <c r="W50" s="8" t="n"/>
      <c r="X50" s="8" t="n"/>
    </row>
    <row r="51">
      <c r="A51" s="5" t="inlineStr">
        <is>
          <t>f000943</t>
        </is>
      </c>
      <c r="B51" s="5" t="n">
        <v>1752</v>
      </c>
      <c r="C51" s="5" t="n">
        <v>1395</v>
      </c>
      <c r="D51" s="5" t="inlineStr">
        <is>
          <t>{7C70AEC7-1C3A-4867-92DF-B24C9EED18CF}</t>
        </is>
      </c>
      <c r="E51" s="5" t="inlineStr">
        <is>
          <t>Point Hope</t>
        </is>
      </c>
      <c r="F51" s="5" t="inlineStr">
        <is>
          <t>latitude;longitude</t>
        </is>
      </c>
      <c r="G51" s="5" t="n">
        <v>70.483335</v>
      </c>
      <c r="H51" s="5" t="n">
        <v>-157.426035</v>
      </c>
      <c r="I51" s="5" t="n">
        <v>68.34952</v>
      </c>
      <c r="J51" s="5" t="n">
        <v>-166.73593</v>
      </c>
      <c r="K51" s="5" t="inlineStr">
        <is>
          <t>70.48333467,-157.42603502</t>
        </is>
      </c>
      <c r="L51" s="5" t="inlineStr">
        <is>
          <t>68.34952,-166.73593</t>
        </is>
      </c>
      <c r="M51" s="5" t="inlineStr">
        <is>
          <t>medium</t>
        </is>
      </c>
      <c r="N51" s="6" t="inlineStr">
        <is>
          <t>Exact point shared with facilities of ['Atqasuk', 'Kaktovik', 'Nuiqsut', 'Point Lay']; the build merges the stack into ONE site labelled by the first CSV row (consolidate_facilities). Proposed = medoid of own-label sites.</t>
        </is>
      </c>
      <c r="O51" s="5" t="inlineStr">
        <is>
          <t>removed in 2025 file</t>
        </is>
      </c>
      <c r="P51" s="5" t="n"/>
      <c r="Q51" s="5" t="n"/>
      <c r="R51" s="7">
        <f>HYPERLINK("https://www.google.com/maps?q=70.483335,-157.426035","map: stored")</f>
        <v/>
      </c>
      <c r="S51" s="7">
        <f>HYPERLINK("https://www.google.com/maps?q=68.349520,-166.735930","map: proposed")</f>
        <v/>
      </c>
      <c r="T51" s="8" t="n"/>
      <c r="U51" s="8" t="n"/>
      <c r="V51" s="8" t="n"/>
      <c r="W51" s="8" t="n"/>
      <c r="X51" s="8" t="n"/>
    </row>
    <row r="52">
      <c r="A52" s="5" t="inlineStr">
        <is>
          <t>f001076</t>
        </is>
      </c>
      <c r="B52" s="5" t="n">
        <v>1763</v>
      </c>
      <c r="C52" s="5" t="n">
        <v>1408</v>
      </c>
      <c r="D52" s="5" t="inlineStr">
        <is>
          <t>{AC7AE947-7B03-4A9E-ADDF-90A993019617}</t>
        </is>
      </c>
      <c r="E52" s="5" t="inlineStr">
        <is>
          <t>Point Lay</t>
        </is>
      </c>
      <c r="F52" s="5" t="inlineStr">
        <is>
          <t>latitude;longitude</t>
        </is>
      </c>
      <c r="G52" s="5" t="n">
        <v>70.483335</v>
      </c>
      <c r="H52" s="5" t="n">
        <v>-157.426035</v>
      </c>
      <c r="I52" s="5" t="n">
        <v>69.74182</v>
      </c>
      <c r="J52" s="5" t="n">
        <v>-163.01075</v>
      </c>
      <c r="K52" s="5" t="inlineStr">
        <is>
          <t>70.48333467,-157.42603502</t>
        </is>
      </c>
      <c r="L52" s="5" t="inlineStr">
        <is>
          <t>69.74182,-163.01075</t>
        </is>
      </c>
      <c r="M52" s="5" t="inlineStr">
        <is>
          <t>medium</t>
        </is>
      </c>
      <c r="N52" s="6" t="inlineStr">
        <is>
          <t>Exact point shared with facilities of ['Atqasuk', 'Kaktovik', 'Nuiqsut', 'Point Hope']; the build merges the stack into ONE site labelled by the first CSV row (consolidate_facilities). Proposed = medoid of own-label sites.</t>
        </is>
      </c>
      <c r="O52" s="5" t="inlineStr">
        <is>
          <t>removed in 2025 file</t>
        </is>
      </c>
      <c r="P52" s="5" t="n"/>
      <c r="Q52" s="5" t="n"/>
      <c r="R52" s="7">
        <f>HYPERLINK("https://www.google.com/maps?q=70.483335,-157.426035","map: stored")</f>
        <v/>
      </c>
      <c r="S52" s="7">
        <f>HYPERLINK("https://www.google.com/maps?q=69.741820,-163.010750","map: proposed")</f>
        <v/>
      </c>
      <c r="T52" s="8" t="n"/>
      <c r="U52" s="8" t="n"/>
      <c r="V52" s="8" t="n"/>
      <c r="W52" s="8" t="n"/>
      <c r="X52" s="8" t="n"/>
    </row>
  </sheetData>
  <autoFilter ref="A1:X52"/>
  <dataValidations count="1">
    <dataValidation sqref="T2:T52" showDropDown="0" showInputMessage="0" showErrorMessage="0" allowBlank="1" type="list">
      <formula1>"approve,approve with my value,reject,ask AEA,skip for now"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2" customWidth="1" min="12" max="12"/>
    <col width="14" customWidth="1" min="13" max="13"/>
    <col width="70" customWidth="1" min="14" max="14"/>
    <col width="2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40" customWidth="1" min="22" max="22"/>
    <col width="14" customWidth="1" min="23" max="23"/>
    <col width="14" customWidth="1" min="24" max="24"/>
  </cols>
  <sheetData>
    <row r="1">
      <c r="A1" s="4" t="inlineStr">
        <is>
          <t>facility_pid</t>
        </is>
      </c>
      <c r="B1" s="4" t="inlineStr">
        <is>
          <t>facility_id</t>
        </is>
      </c>
      <c r="C1" s="4" t="inlineStr">
        <is>
          <t>csv_row</t>
        </is>
      </c>
      <c r="D1" s="4" t="inlineStr">
        <is>
          <t>GlobalID</t>
        </is>
      </c>
      <c r="E1" s="4" t="inlineStr">
        <is>
          <t>label</t>
        </is>
      </c>
      <c r="F1" s="4" t="inlineStr">
        <is>
          <t>field</t>
        </is>
      </c>
      <c r="G1" s="4" t="inlineStr">
        <is>
          <t>current_lat</t>
        </is>
      </c>
      <c r="H1" s="4" t="inlineStr">
        <is>
          <t>current_lon</t>
        </is>
      </c>
      <c r="I1" s="4" t="inlineStr">
        <is>
          <t>proposed_lat</t>
        </is>
      </c>
      <c r="J1" s="4" t="inlineStr">
        <is>
          <t>proposed_lon</t>
        </is>
      </c>
      <c r="K1" s="4" t="inlineStr">
        <is>
          <t>current_value</t>
        </is>
      </c>
      <c r="L1" s="4" t="inlineStr">
        <is>
          <t>proposed_value</t>
        </is>
      </c>
      <c r="M1" s="4" t="inlineStr">
        <is>
          <t>confidence</t>
        </is>
      </c>
      <c r="N1" s="4" t="inlineStr">
        <is>
          <t>evidence</t>
        </is>
      </c>
      <c r="O1" s="4" t="inlineStr">
        <is>
          <t>aea_2025_status</t>
        </is>
      </c>
      <c r="P1" s="4" t="inlineStr">
        <is>
          <t>aea_2025_map_lat</t>
        </is>
      </c>
      <c r="Q1" s="4" t="inlineStr">
        <is>
          <t>aea_2025_map_lon</t>
        </is>
      </c>
      <c r="R1" s="4" t="inlineStr">
        <is>
          <t>map: stored</t>
        </is>
      </c>
      <c r="S1" s="4" t="inlineStr">
        <is>
          <t>map: proposed</t>
        </is>
      </c>
      <c r="T1" s="4" t="inlineStr">
        <is>
          <t>decision</t>
        </is>
      </c>
      <c r="U1" s="4" t="inlineStr">
        <is>
          <t>your_value</t>
        </is>
      </c>
      <c r="V1" s="4" t="inlineStr">
        <is>
          <t>notes</t>
        </is>
      </c>
      <c r="W1" s="4" t="inlineStr">
        <is>
          <t>reviewed_by</t>
        </is>
      </c>
      <c r="X1" s="4" t="inlineStr">
        <is>
          <t>reviewed_on</t>
        </is>
      </c>
    </row>
    <row r="2">
      <c r="A2" s="5" t="inlineStr">
        <is>
          <t>f001783</t>
        </is>
      </c>
      <c r="B2" s="5" t="n">
        <v>110</v>
      </c>
      <c r="C2" s="5" t="n">
        <v>433</v>
      </c>
      <c r="D2" s="5" t="inlineStr">
        <is>
          <t>{60E9F7B5-8A63-4781-81E6-69A693BAD37D}</t>
        </is>
      </c>
      <c r="E2" s="5" t="inlineStr">
        <is>
          <t>Clarks Point</t>
        </is>
      </c>
      <c r="F2" s="5" t="inlineStr">
        <is>
          <t>community_name</t>
        </is>
      </c>
      <c r="G2" s="5" t="n">
        <v>58.836247</v>
      </c>
      <c r="H2" s="5" t="n">
        <v>-158.544473</v>
      </c>
      <c r="I2" s="5" t="n"/>
      <c r="J2" s="5" t="n"/>
      <c r="K2" s="5" t="inlineStr">
        <is>
          <t>Clarks Point</t>
        </is>
      </c>
      <c r="L2" s="5" t="inlineStr">
        <is>
          <t>Clark's Point</t>
        </is>
      </c>
      <c r="M2" s="5" t="inlineStr">
        <is>
          <t>high</t>
        </is>
      </c>
      <c r="N2" s="6" t="inlineStr">
        <is>
          <t>Same CommunityID as 'Clark's Point' ({16FFACBB-CCBD-4A00-829F-F89904105FD5}); the two spellings form separate hub groups in aggregate_hubs (group key is the raw string).</t>
        </is>
      </c>
      <c r="O2" s="5" t="inlineStr">
        <is>
          <t>unchanged</t>
        </is>
      </c>
      <c r="P2" s="5" t="n">
        <v>58.8363</v>
      </c>
      <c r="Q2" s="5" t="n">
        <v>-158.54449</v>
      </c>
      <c r="R2" s="7">
        <f>HYPERLINK("https://www.google.com/maps?q=58.836247,-158.544473","map: stored")</f>
        <v/>
      </c>
      <c r="S2" s="2" t="inlineStr">
        <is>
          <t>(label change)</t>
        </is>
      </c>
      <c r="T2" s="8" t="n"/>
      <c r="U2" s="8" t="n"/>
      <c r="V2" s="8" t="n"/>
      <c r="W2" s="8" t="n"/>
      <c r="X2" s="8" t="n"/>
    </row>
    <row r="3">
      <c r="A3" s="5" t="inlineStr">
        <is>
          <t>f001658</t>
        </is>
      </c>
      <c r="B3" s="5" t="n">
        <v>402</v>
      </c>
      <c r="C3" s="5" t="n">
        <v>434</v>
      </c>
      <c r="D3" s="5" t="inlineStr">
        <is>
          <t>{4BEF8811-2274-4D00-AC1C-998D040903CB}</t>
        </is>
      </c>
      <c r="E3" s="5" t="inlineStr">
        <is>
          <t>Clarks Point</t>
        </is>
      </c>
      <c r="F3" s="5" t="inlineStr">
        <is>
          <t>community_name</t>
        </is>
      </c>
      <c r="G3" s="5" t="n">
        <v>58.8369</v>
      </c>
      <c r="H3" s="5" t="n">
        <v>-158.5293</v>
      </c>
      <c r="I3" s="5" t="n"/>
      <c r="J3" s="5" t="n"/>
      <c r="K3" s="5" t="inlineStr">
        <is>
          <t>Clarks Point</t>
        </is>
      </c>
      <c r="L3" s="5" t="inlineStr">
        <is>
          <t>Clark's Point</t>
        </is>
      </c>
      <c r="M3" s="5" t="inlineStr">
        <is>
          <t>high</t>
        </is>
      </c>
      <c r="N3" s="6" t="inlineStr">
        <is>
          <t>Same CommunityID as 'Clark's Point' ({16FFACBB-CCBD-4A00-829F-F89904105FD5}); the two spellings form separate hub groups in aggregate_hubs (group key is the raw string).</t>
        </is>
      </c>
      <c r="O3" s="5" t="inlineStr">
        <is>
          <t>unchanged</t>
        </is>
      </c>
      <c r="P3" s="5" t="n">
        <v>58.83691</v>
      </c>
      <c r="Q3" s="5" t="n">
        <v>-158.5293</v>
      </c>
      <c r="R3" s="7">
        <f>HYPERLINK("https://www.google.com/maps?q=58.836900,-158.529300","map: stored")</f>
        <v/>
      </c>
      <c r="S3" s="2" t="inlineStr">
        <is>
          <t>(label change)</t>
        </is>
      </c>
      <c r="T3" s="8" t="n"/>
      <c r="U3" s="8" t="n"/>
      <c r="V3" s="8" t="n"/>
      <c r="W3" s="8" t="n"/>
      <c r="X3" s="8" t="n"/>
    </row>
    <row r="4">
      <c r="A4" s="5" t="inlineStr">
        <is>
          <t>f000037</t>
        </is>
      </c>
      <c r="B4" s="5" t="n">
        <v>355</v>
      </c>
      <c r="C4" s="5" t="n">
        <v>1483</v>
      </c>
      <c r="D4" s="5" t="inlineStr">
        <is>
          <t>{14E28DA5-69A4-4D2F-BB92-286834F0B46F}</t>
        </is>
      </c>
      <c r="E4" s="5" t="inlineStr">
        <is>
          <t>Saint Marys</t>
        </is>
      </c>
      <c r="F4" s="5" t="inlineStr">
        <is>
          <t>community_name</t>
        </is>
      </c>
      <c r="G4" s="5" t="n">
        <v>62.057547</v>
      </c>
      <c r="H4" s="5" t="n">
        <v>-163.294789</v>
      </c>
      <c r="I4" s="5" t="n"/>
      <c r="J4" s="5" t="n"/>
      <c r="K4" s="5" t="inlineStr">
        <is>
          <t>Saint Marys</t>
        </is>
      </c>
      <c r="L4" s="5" t="inlineStr">
        <is>
          <t>Saint Mary's</t>
        </is>
      </c>
      <c r="M4" s="5" t="inlineStr">
        <is>
          <t>high</t>
        </is>
      </c>
      <c r="N4" s="6" t="inlineStr">
        <is>
          <t>Same CommunityID as 'Saint Mary's' ({8AB67F75-EAB7-4DEB-8885-83230D155E9C}); the two spellings form separate hub groups in aggregate_hubs (group key is the raw string).</t>
        </is>
      </c>
      <c r="O4" s="5" t="inlineStr">
        <is>
          <t>unchanged</t>
        </is>
      </c>
      <c r="P4" s="5" t="n">
        <v>62.05768</v>
      </c>
      <c r="Q4" s="5" t="n">
        <v>-163.2948</v>
      </c>
      <c r="R4" s="7">
        <f>HYPERLINK("https://www.google.com/maps?q=62.057547,-163.294789","map: stored")</f>
        <v/>
      </c>
      <c r="S4" s="2" t="inlineStr">
        <is>
          <t>(label change)</t>
        </is>
      </c>
      <c r="T4" s="8" t="n"/>
      <c r="U4" s="8" t="n"/>
      <c r="V4" s="8" t="n"/>
      <c r="W4" s="8" t="n"/>
      <c r="X4" s="8" t="n"/>
    </row>
    <row r="5">
      <c r="A5" s="5" t="inlineStr">
        <is>
          <t>f001832</t>
        </is>
      </c>
      <c r="B5" s="5" t="n">
        <v>763</v>
      </c>
      <c r="C5" s="5" t="n">
        <v>1484</v>
      </c>
      <c r="D5" s="5" t="inlineStr">
        <is>
          <t>{E7455FE8-21D1-4DB9-B9A2-3E131F07722C}</t>
        </is>
      </c>
      <c r="E5" s="5" t="inlineStr">
        <is>
          <t>Saint Marys</t>
        </is>
      </c>
      <c r="F5" s="5" t="inlineStr">
        <is>
          <t>community_name</t>
        </is>
      </c>
      <c r="G5" s="5" t="n">
        <v>62.051516</v>
      </c>
      <c r="H5" s="5" t="n">
        <v>-163.175166</v>
      </c>
      <c r="I5" s="5" t="n"/>
      <c r="J5" s="5" t="n"/>
      <c r="K5" s="5" t="inlineStr">
        <is>
          <t>Saint Marys</t>
        </is>
      </c>
      <c r="L5" s="5" t="inlineStr">
        <is>
          <t>Saint Mary's</t>
        </is>
      </c>
      <c r="M5" s="5" t="inlineStr">
        <is>
          <t>high</t>
        </is>
      </c>
      <c r="N5" s="6" t="inlineStr">
        <is>
          <t>Same CommunityID as 'Saint Mary's' ({8AB67F75-EAB7-4DEB-8885-83230D155E9C}); the two spellings form separate hub groups in aggregate_hubs (group key is the raw string).</t>
        </is>
      </c>
      <c r="O5" s="5" t="inlineStr">
        <is>
          <t>unchanged</t>
        </is>
      </c>
      <c r="P5" s="5" t="n">
        <v>62.05151</v>
      </c>
      <c r="Q5" s="5" t="n">
        <v>-163.17511</v>
      </c>
      <c r="R5" s="7">
        <f>HYPERLINK("https://www.google.com/maps?q=62.051516,-163.175166","map: stored")</f>
        <v/>
      </c>
      <c r="S5" s="2" t="inlineStr">
        <is>
          <t>(label change)</t>
        </is>
      </c>
      <c r="T5" s="8" t="n"/>
      <c r="U5" s="8" t="n"/>
      <c r="V5" s="8" t="n"/>
      <c r="W5" s="8" t="n"/>
      <c r="X5" s="8" t="n"/>
    </row>
    <row r="6">
      <c r="A6" s="5" t="inlineStr">
        <is>
          <t>f000451</t>
        </is>
      </c>
      <c r="B6" s="5" t="n">
        <v>939</v>
      </c>
      <c r="C6" s="5" t="n">
        <v>1485</v>
      </c>
      <c r="D6" s="5" t="inlineStr">
        <is>
          <t>{FB96C24B-7E2D-41A4-BB41-17A5FC20670F}</t>
        </is>
      </c>
      <c r="E6" s="5" t="inlineStr">
        <is>
          <t>Saint Marys</t>
        </is>
      </c>
      <c r="F6" s="5" t="inlineStr">
        <is>
          <t>community_name</t>
        </is>
      </c>
      <c r="G6" s="5" t="n">
        <v>62.0519</v>
      </c>
      <c r="H6" s="5" t="n">
        <v>-163.17254</v>
      </c>
      <c r="I6" s="5" t="n"/>
      <c r="J6" s="5" t="n"/>
      <c r="K6" s="5" t="inlineStr">
        <is>
          <t>Saint Marys</t>
        </is>
      </c>
      <c r="L6" s="5" t="inlineStr">
        <is>
          <t>Saint Mary's</t>
        </is>
      </c>
      <c r="M6" s="5" t="inlineStr">
        <is>
          <t>high</t>
        </is>
      </c>
      <c r="N6" s="6" t="inlineStr">
        <is>
          <t>Same CommunityID as 'Saint Mary's' ({8AB67F75-EAB7-4DEB-8885-83230D155E9C}); the two spellings form separate hub groups in aggregate_hubs (group key is the raw string).</t>
        </is>
      </c>
      <c r="O6" s="5" t="inlineStr">
        <is>
          <t>unchanged</t>
        </is>
      </c>
      <c r="P6" s="5" t="n">
        <v>62.05188</v>
      </c>
      <c r="Q6" s="5" t="n">
        <v>-163.17249</v>
      </c>
      <c r="R6" s="7">
        <f>HYPERLINK("https://www.google.com/maps?q=62.051900,-163.172540","map: stored")</f>
        <v/>
      </c>
      <c r="S6" s="2" t="inlineStr">
        <is>
          <t>(label change)</t>
        </is>
      </c>
      <c r="T6" s="8" t="n"/>
      <c r="U6" s="8" t="n"/>
      <c r="V6" s="8" t="n"/>
      <c r="W6" s="8" t="n"/>
      <c r="X6" s="8" t="n"/>
    </row>
    <row r="7">
      <c r="A7" s="5" t="inlineStr">
        <is>
          <t>f001107</t>
        </is>
      </c>
      <c r="B7" s="5" t="n">
        <v>1093</v>
      </c>
      <c r="C7" s="5" t="n">
        <v>1486</v>
      </c>
      <c r="D7" s="5" t="inlineStr">
        <is>
          <t>{D74EF297-A73B-4181-A759-56C37FDE41DF}</t>
        </is>
      </c>
      <c r="E7" s="5" t="inlineStr">
        <is>
          <t>Saint Marys</t>
        </is>
      </c>
      <c r="F7" s="5" t="inlineStr">
        <is>
          <t>community_name</t>
        </is>
      </c>
      <c r="G7" s="5" t="n">
        <v>62.06083</v>
      </c>
      <c r="H7" s="5" t="n">
        <v>-163.3018</v>
      </c>
      <c r="I7" s="5" t="n"/>
      <c r="J7" s="5" t="n"/>
      <c r="K7" s="5" t="inlineStr">
        <is>
          <t>Saint Marys</t>
        </is>
      </c>
      <c r="L7" s="5" t="inlineStr">
        <is>
          <t>Saint Mary's</t>
        </is>
      </c>
      <c r="M7" s="5" t="inlineStr">
        <is>
          <t>high</t>
        </is>
      </c>
      <c r="N7" s="6" t="inlineStr">
        <is>
          <t>Same CommunityID as 'Saint Mary's' ({8AB67F75-EAB7-4DEB-8885-83230D155E9C}); the two spellings form separate hub groups in aggregate_hubs (group key is the raw string).</t>
        </is>
      </c>
      <c r="O7" s="5" t="inlineStr">
        <is>
          <t>unchanged</t>
        </is>
      </c>
      <c r="P7" s="5" t="n">
        <v>62.06091</v>
      </c>
      <c r="Q7" s="5" t="n">
        <v>-163.30182</v>
      </c>
      <c r="R7" s="7">
        <f>HYPERLINK("https://www.google.com/maps?q=62.060830,-163.301800","map: stored")</f>
        <v/>
      </c>
      <c r="S7" s="2" t="inlineStr">
        <is>
          <t>(label change)</t>
        </is>
      </c>
      <c r="T7" s="8" t="n"/>
      <c r="U7" s="8" t="n"/>
      <c r="V7" s="8" t="n"/>
      <c r="W7" s="8" t="n"/>
      <c r="X7" s="8" t="n"/>
    </row>
    <row r="8">
      <c r="A8" s="5" t="inlineStr">
        <is>
          <t>f000726</t>
        </is>
      </c>
      <c r="B8" s="5" t="n">
        <v>1262</v>
      </c>
      <c r="C8" s="5" t="n">
        <v>1487</v>
      </c>
      <c r="D8" s="5" t="inlineStr">
        <is>
          <t>{8AD14672-6D41-4612-9C63-B8526F36290D}</t>
        </is>
      </c>
      <c r="E8" s="5" t="inlineStr">
        <is>
          <t>Saint Marys</t>
        </is>
      </c>
      <c r="F8" s="5" t="inlineStr">
        <is>
          <t>community_name</t>
        </is>
      </c>
      <c r="G8" s="5" t="n">
        <v>62.052793</v>
      </c>
      <c r="H8" s="5" t="n">
        <v>-163.181297</v>
      </c>
      <c r="I8" s="5" t="n"/>
      <c r="J8" s="5" t="n"/>
      <c r="K8" s="5" t="inlineStr">
        <is>
          <t>Saint Marys</t>
        </is>
      </c>
      <c r="L8" s="5" t="inlineStr">
        <is>
          <t>Saint Mary's</t>
        </is>
      </c>
      <c r="M8" s="5" t="inlineStr">
        <is>
          <t>high</t>
        </is>
      </c>
      <c r="N8" s="6" t="inlineStr">
        <is>
          <t>Same CommunityID as 'Saint Mary's' ({8AB67F75-EAB7-4DEB-8885-83230D155E9C}); the two spellings form separate hub groups in aggregate_hubs (group key is the raw string).</t>
        </is>
      </c>
      <c r="O8" s="5" t="inlineStr">
        <is>
          <t>unchanged</t>
        </is>
      </c>
      <c r="P8" s="5" t="n">
        <v>62.05292</v>
      </c>
      <c r="Q8" s="5" t="n">
        <v>-163.18121</v>
      </c>
      <c r="R8" s="7">
        <f>HYPERLINK("https://www.google.com/maps?q=62.052793,-163.181297","map: stored")</f>
        <v/>
      </c>
      <c r="S8" s="2" t="inlineStr">
        <is>
          <t>(label change)</t>
        </is>
      </c>
      <c r="T8" s="8" t="n"/>
      <c r="U8" s="8" t="n"/>
      <c r="V8" s="8" t="n"/>
      <c r="W8" s="8" t="n"/>
      <c r="X8" s="8" t="n"/>
    </row>
    <row r="9">
      <c r="A9" s="5" t="inlineStr">
        <is>
          <t>f000266</t>
        </is>
      </c>
      <c r="B9" s="5" t="n">
        <v>167</v>
      </c>
      <c r="C9" s="5" t="n">
        <v>1480</v>
      </c>
      <c r="D9" s="5" t="inlineStr">
        <is>
          <t>{15B249BC-700E-47F6-A75F-F39B21D66AD6}</t>
        </is>
      </c>
      <c r="E9" s="5" t="inlineStr">
        <is>
          <t>Saint George Island</t>
        </is>
      </c>
      <c r="F9" s="5" t="inlineStr">
        <is>
          <t>community_name</t>
        </is>
      </c>
      <c r="G9" s="5" t="n">
        <v>56.572258</v>
      </c>
      <c r="H9" s="5" t="n">
        <v>-169.671067</v>
      </c>
      <c r="I9" s="5" t="n"/>
      <c r="J9" s="5" t="n"/>
      <c r="K9" s="5" t="inlineStr">
        <is>
          <t>Saint George Island</t>
        </is>
      </c>
      <c r="L9" s="5" t="inlineStr">
        <is>
          <t>Saint George</t>
        </is>
      </c>
      <c r="M9" s="5" t="inlineStr">
        <is>
          <t>high</t>
        </is>
      </c>
      <c r="N9" s="6" t="inlineStr">
        <is>
          <t>Same CommunityID as 'Saint George' ({55AFA1A4-5677-44A5-A22C-9F9D370747CE}); the two spellings form separate hub groups in aggregate_hubs (group key is the raw string).</t>
        </is>
      </c>
      <c r="O9" s="5" t="inlineStr">
        <is>
          <t>unchanged</t>
        </is>
      </c>
      <c r="P9" s="5" t="n">
        <v>56.57233</v>
      </c>
      <c r="Q9" s="5" t="n">
        <v>-169.67108</v>
      </c>
      <c r="R9" s="7">
        <f>HYPERLINK("https://www.google.com/maps?q=56.572258,-169.671067","map: stored")</f>
        <v/>
      </c>
      <c r="S9" s="2" t="inlineStr">
        <is>
          <t>(label change)</t>
        </is>
      </c>
      <c r="T9" s="8" t="n"/>
      <c r="U9" s="8" t="n"/>
      <c r="V9" s="8" t="n"/>
      <c r="W9" s="8" t="n"/>
      <c r="X9" s="8" t="n"/>
    </row>
    <row r="10">
      <c r="A10" s="5" t="inlineStr">
        <is>
          <t>f000879</t>
        </is>
      </c>
      <c r="B10" s="5" t="n">
        <v>458</v>
      </c>
      <c r="C10" s="5" t="n">
        <v>1481</v>
      </c>
      <c r="D10" s="5" t="inlineStr">
        <is>
          <t>{9F3D036A-E04E-431E-919E-5677FE81308D}</t>
        </is>
      </c>
      <c r="E10" s="5" t="inlineStr">
        <is>
          <t>Saint George Island</t>
        </is>
      </c>
      <c r="F10" s="5" t="inlineStr">
        <is>
          <t>community_name</t>
        </is>
      </c>
      <c r="G10" s="5" t="n">
        <v>56.577222</v>
      </c>
      <c r="H10" s="5" t="n">
        <v>-169.663611</v>
      </c>
      <c r="I10" s="5" t="n"/>
      <c r="J10" s="5" t="n"/>
      <c r="K10" s="5" t="inlineStr">
        <is>
          <t>Saint George Island</t>
        </is>
      </c>
      <c r="L10" s="5" t="inlineStr">
        <is>
          <t>Saint George</t>
        </is>
      </c>
      <c r="M10" s="5" t="inlineStr">
        <is>
          <t>high</t>
        </is>
      </c>
      <c r="N10" s="6" t="inlineStr">
        <is>
          <t>Same CommunityID as 'Saint George' ({55AFA1A4-5677-44A5-A22C-9F9D370747CE}); the two spellings form separate hub groups in aggregate_hubs (group key is the raw string).</t>
        </is>
      </c>
      <c r="O10" s="5" t="inlineStr">
        <is>
          <t>unchanged</t>
        </is>
      </c>
      <c r="P10" s="5" t="n">
        <v>56.57727</v>
      </c>
      <c r="Q10" s="5" t="n">
        <v>-169.66351</v>
      </c>
      <c r="R10" s="7">
        <f>HYPERLINK("https://www.google.com/maps?q=56.577222,-169.663611","map: stored")</f>
        <v/>
      </c>
      <c r="S10" s="2" t="inlineStr">
        <is>
          <t>(label change)</t>
        </is>
      </c>
      <c r="T10" s="8" t="n"/>
      <c r="U10" s="8" t="n"/>
      <c r="V10" s="8" t="n"/>
      <c r="W10" s="8" t="n"/>
      <c r="X10" s="8" t="n"/>
    </row>
    <row r="11">
      <c r="A11" s="5" t="inlineStr">
        <is>
          <t>f001280</t>
        </is>
      </c>
      <c r="B11" s="5" t="n">
        <v>979</v>
      </c>
      <c r="C11" s="5" t="n">
        <v>1482</v>
      </c>
      <c r="D11" s="5" t="inlineStr">
        <is>
          <t>{1FF8EE87-BBCC-416D-9B93-4AE5B2704310}</t>
        </is>
      </c>
      <c r="E11" s="5" t="inlineStr">
        <is>
          <t>Saint George Island</t>
        </is>
      </c>
      <c r="F11" s="5" t="inlineStr">
        <is>
          <t>community_name</t>
        </is>
      </c>
      <c r="G11" s="5" t="n">
        <v>56.602823</v>
      </c>
      <c r="H11" s="5" t="n">
        <v>-169.543351</v>
      </c>
      <c r="I11" s="5" t="n"/>
      <c r="J11" s="5" t="n"/>
      <c r="K11" s="5" t="inlineStr">
        <is>
          <t>Saint George Island</t>
        </is>
      </c>
      <c r="L11" s="5" t="inlineStr">
        <is>
          <t>Saint George</t>
        </is>
      </c>
      <c r="M11" s="5" t="inlineStr">
        <is>
          <t>high</t>
        </is>
      </c>
      <c r="N11" s="6" t="inlineStr">
        <is>
          <t>Same CommunityID as 'Saint George' ({55AFA1A4-5677-44A5-A22C-9F9D370747CE}); the two spellings form separate hub groups in aggregate_hubs (group key is the raw string).</t>
        </is>
      </c>
      <c r="O11" s="5" t="inlineStr">
        <is>
          <t>unchanged</t>
        </is>
      </c>
      <c r="P11" s="5" t="n">
        <v>56.60291</v>
      </c>
      <c r="Q11" s="5" t="n">
        <v>-169.54321</v>
      </c>
      <c r="R11" s="7">
        <f>HYPERLINK("https://www.google.com/maps?q=56.602823,-169.543351","map: stored")</f>
        <v/>
      </c>
      <c r="S11" s="2" t="inlineStr">
        <is>
          <t>(label change)</t>
        </is>
      </c>
      <c r="T11" s="8" t="n"/>
      <c r="U11" s="8" t="n"/>
      <c r="V11" s="8" t="n"/>
      <c r="W11" s="8" t="n"/>
      <c r="X11" s="8" t="n"/>
    </row>
    <row r="12">
      <c r="A12" s="5" t="inlineStr">
        <is>
          <t>f000057</t>
        </is>
      </c>
      <c r="B12" s="5" t="n">
        <v>40</v>
      </c>
      <c r="C12" s="5" t="n">
        <v>1509</v>
      </c>
      <c r="D12" s="5" t="inlineStr">
        <is>
          <t>{569725C5-F6E9-4B28-96C7-8BDF5BCB6C06}</t>
        </is>
      </c>
      <c r="E12" s="5" t="inlineStr">
        <is>
          <t>Saint Paul Island</t>
        </is>
      </c>
      <c r="F12" s="5" t="inlineStr">
        <is>
          <t>community_name</t>
        </is>
      </c>
      <c r="G12" s="5" t="n">
        <v>57.150475</v>
      </c>
      <c r="H12" s="5" t="n">
        <v>-170.250733</v>
      </c>
      <c r="I12" s="5" t="n"/>
      <c r="J12" s="5" t="n"/>
      <c r="K12" s="5" t="inlineStr">
        <is>
          <t>Saint Paul Island</t>
        </is>
      </c>
      <c r="L12" s="5" t="inlineStr">
        <is>
          <t>Saint Paul</t>
        </is>
      </c>
      <c r="M12" s="5" t="inlineStr">
        <is>
          <t>high</t>
        </is>
      </c>
      <c r="N12" s="6" t="inlineStr">
        <is>
          <t>Same CommunityID as 'Saint Paul' ({B7D914E8-D125-49F0-B374-8AE610E5DBC7}); the two spellings form separate hub groups in aggregate_hubs (group key is the raw string).</t>
        </is>
      </c>
      <c r="O12" s="5" t="inlineStr">
        <is>
          <t>unchanged</t>
        </is>
      </c>
      <c r="P12" s="5" t="n">
        <v>57.15051</v>
      </c>
      <c r="Q12" s="5" t="n">
        <v>-170.25061</v>
      </c>
      <c r="R12" s="7">
        <f>HYPERLINK("https://www.google.com/maps?q=57.150475,-170.250733","map: stored")</f>
        <v/>
      </c>
      <c r="S12" s="2" t="inlineStr">
        <is>
          <t>(label change)</t>
        </is>
      </c>
      <c r="T12" s="8" t="n"/>
      <c r="U12" s="8" t="n"/>
      <c r="V12" s="8" t="n"/>
      <c r="W12" s="8" t="n"/>
      <c r="X12" s="8" t="n"/>
    </row>
    <row r="13">
      <c r="A13" s="5" t="inlineStr">
        <is>
          <t>f000464</t>
        </is>
      </c>
      <c r="B13" s="5" t="n">
        <v>35</v>
      </c>
      <c r="C13" s="5" t="n">
        <v>1510</v>
      </c>
      <c r="D13" s="5" t="inlineStr">
        <is>
          <t>{66E08F69-68FD-40AD-99B3-7A2007C0697D}</t>
        </is>
      </c>
      <c r="E13" s="5" t="inlineStr">
        <is>
          <t>Saint Paul Island</t>
        </is>
      </c>
      <c r="F13" s="5" t="inlineStr">
        <is>
          <t>community_name</t>
        </is>
      </c>
      <c r="G13" s="5" t="n">
        <v>57.15813</v>
      </c>
      <c r="H13" s="5" t="n">
        <v>-170.229828</v>
      </c>
      <c r="I13" s="5" t="n"/>
      <c r="J13" s="5" t="n"/>
      <c r="K13" s="5" t="inlineStr">
        <is>
          <t>Saint Paul Island</t>
        </is>
      </c>
      <c r="L13" s="5" t="inlineStr">
        <is>
          <t>Saint Paul</t>
        </is>
      </c>
      <c r="M13" s="5" t="inlineStr">
        <is>
          <t>high</t>
        </is>
      </c>
      <c r="N13" s="6" t="inlineStr">
        <is>
          <t>Same CommunityID as 'Saint Paul' ({B7D914E8-D125-49F0-B374-8AE610E5DBC7}); the two spellings form separate hub groups in aggregate_hubs (group key is the raw string).</t>
        </is>
      </c>
      <c r="O13" s="5" t="inlineStr">
        <is>
          <t>unchanged</t>
        </is>
      </c>
      <c r="P13" s="5" t="n">
        <v>57.15808</v>
      </c>
      <c r="Q13" s="5" t="n">
        <v>-170.2298</v>
      </c>
      <c r="R13" s="7">
        <f>HYPERLINK("https://www.google.com/maps?q=57.158130,-170.229828","map: stored")</f>
        <v/>
      </c>
      <c r="S13" s="2" t="inlineStr">
        <is>
          <t>(label change)</t>
        </is>
      </c>
      <c r="T13" s="8" t="n"/>
      <c r="U13" s="8" t="n"/>
      <c r="V13" s="8" t="n"/>
      <c r="W13" s="8" t="n"/>
      <c r="X13" s="8" t="n"/>
    </row>
    <row r="14">
      <c r="A14" s="5" t="inlineStr">
        <is>
          <t>f000002</t>
        </is>
      </c>
      <c r="B14" s="5" t="n">
        <v>459</v>
      </c>
      <c r="C14" s="5" t="n">
        <v>1511</v>
      </c>
      <c r="D14" s="5" t="inlineStr">
        <is>
          <t>{7AFEC631-2122-4F7A-AA44-2584FAFBC1D0}</t>
        </is>
      </c>
      <c r="E14" s="5" t="inlineStr">
        <is>
          <t>Saint Paul Island</t>
        </is>
      </c>
      <c r="F14" s="5" t="inlineStr">
        <is>
          <t>community_name</t>
        </is>
      </c>
      <c r="G14" s="5" t="n">
        <v>57.157869</v>
      </c>
      <c r="H14" s="5" t="n">
        <v>-170.220672</v>
      </c>
      <c r="I14" s="5" t="n"/>
      <c r="J14" s="5" t="n"/>
      <c r="K14" s="5" t="inlineStr">
        <is>
          <t>Saint Paul Island</t>
        </is>
      </c>
      <c r="L14" s="5" t="inlineStr">
        <is>
          <t>Saint Paul</t>
        </is>
      </c>
      <c r="M14" s="5" t="inlineStr">
        <is>
          <t>high</t>
        </is>
      </c>
      <c r="N14" s="6" t="inlineStr">
        <is>
          <t>Same CommunityID as 'Saint Paul' ({B7D914E8-D125-49F0-B374-8AE610E5DBC7}); the two spellings form separate hub groups in aggregate_hubs (group key is the raw string).</t>
        </is>
      </c>
      <c r="O14" s="5" t="inlineStr">
        <is>
          <t>unchanged</t>
        </is>
      </c>
      <c r="P14" s="5" t="n">
        <v>57.1579</v>
      </c>
      <c r="Q14" s="5" t="n">
        <v>-170.22058</v>
      </c>
      <c r="R14" s="7">
        <f>HYPERLINK("https://www.google.com/maps?q=57.157869,-170.220672","map: stored")</f>
        <v/>
      </c>
      <c r="S14" s="2" t="inlineStr">
        <is>
          <t>(label change)</t>
        </is>
      </c>
      <c r="T14" s="8" t="n"/>
      <c r="U14" s="8" t="n"/>
      <c r="V14" s="8" t="n"/>
      <c r="W14" s="8" t="n"/>
      <c r="X14" s="8" t="n"/>
    </row>
    <row r="15">
      <c r="A15" s="5" t="inlineStr">
        <is>
          <t>f001566</t>
        </is>
      </c>
      <c r="B15" s="5" t="n">
        <v>890</v>
      </c>
      <c r="C15" s="5" t="n">
        <v>1512</v>
      </c>
      <c r="D15" s="5" t="inlineStr">
        <is>
          <t>{8D19934A-76B9-4669-B600-BFECB43DCCF3}</t>
        </is>
      </c>
      <c r="E15" s="5" t="inlineStr">
        <is>
          <t>Saint Paul Island</t>
        </is>
      </c>
      <c r="F15" s="5" t="inlineStr">
        <is>
          <t>community_name</t>
        </is>
      </c>
      <c r="G15" s="5" t="n">
        <v>57.124673</v>
      </c>
      <c r="H15" s="5" t="n">
        <v>-170.283921</v>
      </c>
      <c r="I15" s="5" t="n"/>
      <c r="J15" s="5" t="n"/>
      <c r="K15" s="5" t="inlineStr">
        <is>
          <t>Saint Paul Island</t>
        </is>
      </c>
      <c r="L15" s="5" t="inlineStr">
        <is>
          <t>Saint Paul</t>
        </is>
      </c>
      <c r="M15" s="5" t="inlineStr">
        <is>
          <t>high</t>
        </is>
      </c>
      <c r="N15" s="6" t="inlineStr">
        <is>
          <t>Same CommunityID as 'Saint Paul' ({B7D914E8-D125-49F0-B374-8AE610E5DBC7}); the two spellings form separate hub groups in aggregate_hubs (group key is the raw string).</t>
        </is>
      </c>
      <c r="O15" s="5" t="inlineStr">
        <is>
          <t>unchanged</t>
        </is>
      </c>
      <c r="P15" s="5" t="n">
        <v>57.12469</v>
      </c>
      <c r="Q15" s="5" t="n">
        <v>-170.28387</v>
      </c>
      <c r="R15" s="7">
        <f>HYPERLINK("https://www.google.com/maps?q=57.124673,-170.283921","map: stored")</f>
        <v/>
      </c>
      <c r="S15" s="2" t="inlineStr">
        <is>
          <t>(label change)</t>
        </is>
      </c>
      <c r="T15" s="8" t="n"/>
      <c r="U15" s="8" t="n"/>
      <c r="V15" s="8" t="n"/>
      <c r="W15" s="8" t="n"/>
      <c r="X15" s="8" t="n"/>
    </row>
    <row r="16">
      <c r="A16" s="5" t="inlineStr">
        <is>
          <t>f001560</t>
        </is>
      </c>
      <c r="B16" s="5" t="n">
        <v>998</v>
      </c>
      <c r="C16" s="5" t="n">
        <v>1513</v>
      </c>
      <c r="D16" s="5" t="inlineStr">
        <is>
          <t>{52B7BAA3-AC93-4AF7-8E9A-0DEEE954C6EE}</t>
        </is>
      </c>
      <c r="E16" s="5" t="inlineStr">
        <is>
          <t>Saint Paul Island</t>
        </is>
      </c>
      <c r="F16" s="5" t="inlineStr">
        <is>
          <t>community_name</t>
        </is>
      </c>
      <c r="G16" s="5" t="n">
        <v>57.121002</v>
      </c>
      <c r="H16" s="5" t="n">
        <v>-170.279556</v>
      </c>
      <c r="I16" s="5" t="n"/>
      <c r="J16" s="5" t="n"/>
      <c r="K16" s="5" t="inlineStr">
        <is>
          <t>Saint Paul Island</t>
        </is>
      </c>
      <c r="L16" s="5" t="inlineStr">
        <is>
          <t>Saint Paul</t>
        </is>
      </c>
      <c r="M16" s="5" t="inlineStr">
        <is>
          <t>high</t>
        </is>
      </c>
      <c r="N16" s="6" t="inlineStr">
        <is>
          <t>Same CommunityID as 'Saint Paul' ({B7D914E8-D125-49F0-B374-8AE610E5DBC7}); the two spellings form separate hub groups in aggregate_hubs (group key is the raw string).</t>
        </is>
      </c>
      <c r="O16" s="5" t="inlineStr">
        <is>
          <t>unchanged</t>
        </is>
      </c>
      <c r="P16" s="5" t="n">
        <v>57.12109</v>
      </c>
      <c r="Q16" s="5" t="n">
        <v>-170.27948</v>
      </c>
      <c r="R16" s="7">
        <f>HYPERLINK("https://www.google.com/maps?q=57.121002,-170.279556","map: stored")</f>
        <v/>
      </c>
      <c r="S16" s="2" t="inlineStr">
        <is>
          <t>(label change)</t>
        </is>
      </c>
      <c r="T16" s="8" t="n"/>
      <c r="U16" s="8" t="n"/>
      <c r="V16" s="8" t="n"/>
      <c r="W16" s="8" t="n"/>
      <c r="X16" s="8" t="n"/>
    </row>
    <row r="17">
      <c r="A17" s="5" t="inlineStr">
        <is>
          <t>f000615</t>
        </is>
      </c>
      <c r="B17" s="5" t="n">
        <v>1088</v>
      </c>
      <c r="C17" s="5" t="n">
        <v>1514</v>
      </c>
      <c r="D17" s="5" t="inlineStr">
        <is>
          <t>{C2EE3D68-85C8-4D15-8DCF-735AE274FD08}</t>
        </is>
      </c>
      <c r="E17" s="5" t="inlineStr">
        <is>
          <t>Saint Paul Island</t>
        </is>
      </c>
      <c r="F17" s="5" t="inlineStr">
        <is>
          <t>community_name</t>
        </is>
      </c>
      <c r="G17" s="5" t="n">
        <v>57.17063</v>
      </c>
      <c r="H17" s="5" t="n">
        <v>-170.2194</v>
      </c>
      <c r="I17" s="5" t="n"/>
      <c r="J17" s="5" t="n"/>
      <c r="K17" s="5" t="inlineStr">
        <is>
          <t>Saint Paul Island</t>
        </is>
      </c>
      <c r="L17" s="5" t="inlineStr">
        <is>
          <t>Saint Paul</t>
        </is>
      </c>
      <c r="M17" s="5" t="inlineStr">
        <is>
          <t>high</t>
        </is>
      </c>
      <c r="N17" s="6" t="inlineStr">
        <is>
          <t>Same CommunityID as 'Saint Paul' ({B7D914E8-D125-49F0-B374-8AE610E5DBC7}); the two spellings form separate hub groups in aggregate_hubs (group key is the raw string).</t>
        </is>
      </c>
      <c r="O17" s="5" t="inlineStr">
        <is>
          <t>unchanged</t>
        </is>
      </c>
      <c r="P17" s="5" t="n">
        <v>57.17072</v>
      </c>
      <c r="Q17" s="5" t="n">
        <v>-170.21942</v>
      </c>
      <c r="R17" s="7">
        <f>HYPERLINK("https://www.google.com/maps?q=57.170630,-170.219400","map: stored")</f>
        <v/>
      </c>
      <c r="S17" s="2" t="inlineStr">
        <is>
          <t>(label change)</t>
        </is>
      </c>
      <c r="T17" s="8" t="n"/>
      <c r="U17" s="8" t="n"/>
      <c r="V17" s="8" t="n"/>
      <c r="W17" s="8" t="n"/>
      <c r="X17" s="8" t="n"/>
    </row>
    <row r="18">
      <c r="A18" s="5" t="inlineStr">
        <is>
          <t>f000087</t>
        </is>
      </c>
      <c r="B18" s="5" t="n">
        <v>1349</v>
      </c>
      <c r="C18" s="5" t="n">
        <v>320</v>
      </c>
      <c r="D18" s="5" t="inlineStr">
        <is>
          <t>{4F994E16-6208-479F-B3B2-22194B179F84}</t>
        </is>
      </c>
      <c r="E18" s="5" t="inlineStr">
        <is>
          <t>Bettles</t>
        </is>
      </c>
      <c r="F18" s="5" t="inlineStr">
        <is>
          <t>community_name</t>
        </is>
      </c>
      <c r="G18" s="5" t="n">
        <v>66.92345299999999</v>
      </c>
      <c r="H18" s="5" t="n">
        <v>-151.508147</v>
      </c>
      <c r="I18" s="5" t="n"/>
      <c r="J18" s="5" t="n"/>
      <c r="K18" s="5" t="inlineStr">
        <is>
          <t>Bettles</t>
        </is>
      </c>
      <c r="L18" s="5" t="inlineStr">
        <is>
          <t>Bettles Field</t>
        </is>
      </c>
      <c r="M18" s="5" t="inlineStr">
        <is>
          <t>medium</t>
        </is>
      </c>
      <c r="N18" s="6" t="inlineStr">
        <is>
          <t>Same CommunityID as 'Bettles Field' ({C4674250-987C-40CD-B550-D246607343D4}); the two spellings form separate hub groups in aggregate_hubs (group key is the raw string).</t>
        </is>
      </c>
      <c r="O18" s="5" t="inlineStr">
        <is>
          <t>unchanged</t>
        </is>
      </c>
      <c r="P18" s="5" t="n">
        <v>66.92352</v>
      </c>
      <c r="Q18" s="5" t="n">
        <v>-151.50812</v>
      </c>
      <c r="R18" s="7">
        <f>HYPERLINK("https://www.google.com/maps?q=66.923453,-151.508147","map: stored")</f>
        <v/>
      </c>
      <c r="S18" s="2" t="inlineStr">
        <is>
          <t>(label change)</t>
        </is>
      </c>
      <c r="T18" s="8" t="n"/>
      <c r="U18" s="8" t="n"/>
      <c r="V18" s="8" t="n"/>
      <c r="W18" s="8" t="n"/>
      <c r="X18" s="8" t="n"/>
    </row>
    <row r="19">
      <c r="A19" s="5" t="inlineStr">
        <is>
          <t>f000466</t>
        </is>
      </c>
      <c r="B19" s="5" t="n">
        <v>1350</v>
      </c>
      <c r="C19" s="5" t="n">
        <v>321</v>
      </c>
      <c r="D19" s="5" t="inlineStr">
        <is>
          <t>{086531C1-92F4-4C8B-95C4-BA197AAAD587}</t>
        </is>
      </c>
      <c r="E19" s="5" t="inlineStr">
        <is>
          <t>Bettles</t>
        </is>
      </c>
      <c r="F19" s="5" t="inlineStr">
        <is>
          <t>community_name</t>
        </is>
      </c>
      <c r="G19" s="5" t="n">
        <v>66.91817500000001</v>
      </c>
      <c r="H19" s="5" t="n">
        <v>-151.516689</v>
      </c>
      <c r="I19" s="5" t="n"/>
      <c r="J19" s="5" t="n"/>
      <c r="K19" s="5" t="inlineStr">
        <is>
          <t>Bettles</t>
        </is>
      </c>
      <c r="L19" s="5" t="inlineStr">
        <is>
          <t>Bettles Field</t>
        </is>
      </c>
      <c r="M19" s="5" t="inlineStr">
        <is>
          <t>medium</t>
        </is>
      </c>
      <c r="N19" s="6" t="inlineStr">
        <is>
          <t>Same CommunityID as 'Bettles Field' ({C4674250-987C-40CD-B550-D246607343D4}); the two spellings form separate hub groups in aggregate_hubs (group key is the raw string).</t>
        </is>
      </c>
      <c r="O19" s="5" t="inlineStr">
        <is>
          <t>unchanged</t>
        </is>
      </c>
      <c r="P19" s="5" t="n">
        <v>66.91827000000001</v>
      </c>
      <c r="Q19" s="5" t="n">
        <v>-151.5166</v>
      </c>
      <c r="R19" s="7">
        <f>HYPERLINK("https://www.google.com/maps?q=66.918175,-151.516689","map: stored")</f>
        <v/>
      </c>
      <c r="S19" s="2" t="inlineStr">
        <is>
          <t>(label change)</t>
        </is>
      </c>
      <c r="T19" s="8" t="n"/>
      <c r="U19" s="8" t="n"/>
      <c r="V19" s="8" t="n"/>
      <c r="W19" s="8" t="n"/>
      <c r="X19" s="8" t="n"/>
    </row>
    <row r="20">
      <c r="A20" s="5" t="inlineStr">
        <is>
          <t>f000762</t>
        </is>
      </c>
      <c r="B20" s="5" t="n">
        <v>1351</v>
      </c>
      <c r="C20" s="5" t="n">
        <v>322</v>
      </c>
      <c r="D20" s="5" t="inlineStr">
        <is>
          <t>{DFFEA010-C78E-4C70-A5A9-0089FFA544FA}</t>
        </is>
      </c>
      <c r="E20" s="5" t="inlineStr">
        <is>
          <t>Bettles</t>
        </is>
      </c>
      <c r="F20" s="5" t="inlineStr">
        <is>
          <t>community_name</t>
        </is>
      </c>
      <c r="G20" s="5" t="n">
        <v>66.919264</v>
      </c>
      <c r="H20" s="5" t="n">
        <v>-151.51405</v>
      </c>
      <c r="I20" s="5" t="n"/>
      <c r="J20" s="5" t="n"/>
      <c r="K20" s="5" t="inlineStr">
        <is>
          <t>Bettles</t>
        </is>
      </c>
      <c r="L20" s="5" t="inlineStr">
        <is>
          <t>Bettles Field</t>
        </is>
      </c>
      <c r="M20" s="5" t="inlineStr">
        <is>
          <t>medium</t>
        </is>
      </c>
      <c r="N20" s="6" t="inlineStr">
        <is>
          <t>Same CommunityID as 'Bettles Field' ({C4674250-987C-40CD-B550-D246607343D4}); the two spellings form separate hub groups in aggregate_hubs (group key is the raw string).</t>
        </is>
      </c>
      <c r="O20" s="5" t="inlineStr">
        <is>
          <t>unchanged</t>
        </is>
      </c>
      <c r="P20" s="5" t="n">
        <v>66.91931</v>
      </c>
      <c r="Q20" s="5" t="n">
        <v>-151.51398</v>
      </c>
      <c r="R20" s="7">
        <f>HYPERLINK("https://www.google.com/maps?q=66.919264,-151.514050","map: stored")</f>
        <v/>
      </c>
      <c r="S20" s="2" t="inlineStr">
        <is>
          <t>(label change)</t>
        </is>
      </c>
      <c r="T20" s="8" t="n"/>
      <c r="U20" s="8" t="n"/>
      <c r="V20" s="8" t="n"/>
      <c r="W20" s="8" t="n"/>
      <c r="X20" s="8" t="n"/>
    </row>
    <row r="21">
      <c r="A21" s="5" t="inlineStr">
        <is>
          <t>f001757</t>
        </is>
      </c>
      <c r="B21" s="5" t="n">
        <v>1352</v>
      </c>
      <c r="C21" s="5" t="n">
        <v>323</v>
      </c>
      <c r="D21" s="5" t="inlineStr">
        <is>
          <t>{0C5BEC21-0D02-4217-BB25-11C53F2A57C2}</t>
        </is>
      </c>
      <c r="E21" s="5" t="inlineStr">
        <is>
          <t>Bettles</t>
        </is>
      </c>
      <c r="F21" s="5" t="inlineStr">
        <is>
          <t>community_name</t>
        </is>
      </c>
      <c r="G21" s="5" t="n">
        <v>66.92172100000001</v>
      </c>
      <c r="H21" s="5" t="n">
        <v>-151.507715</v>
      </c>
      <c r="I21" s="5" t="n"/>
      <c r="J21" s="5" t="n"/>
      <c r="K21" s="5" t="inlineStr">
        <is>
          <t>Bettles</t>
        </is>
      </c>
      <c r="L21" s="5" t="inlineStr">
        <is>
          <t>Bettles Field</t>
        </is>
      </c>
      <c r="M21" s="5" t="inlineStr">
        <is>
          <t>medium</t>
        </is>
      </c>
      <c r="N21" s="6" t="inlineStr">
        <is>
          <t>Same CommunityID as 'Bettles Field' ({C4674250-987C-40CD-B550-D246607343D4}); the two spellings form separate hub groups in aggregate_hubs (group key is the raw string).</t>
        </is>
      </c>
      <c r="O21" s="5" t="inlineStr">
        <is>
          <t>unchanged</t>
        </is>
      </c>
      <c r="P21" s="5" t="n">
        <v>66.92169</v>
      </c>
      <c r="Q21" s="5" t="n">
        <v>-151.50769</v>
      </c>
      <c r="R21" s="7">
        <f>HYPERLINK("https://www.google.com/maps?q=66.921721,-151.507715","map: stored")</f>
        <v/>
      </c>
      <c r="S21" s="2" t="inlineStr">
        <is>
          <t>(label change)</t>
        </is>
      </c>
      <c r="T21" s="8" t="n"/>
      <c r="U21" s="8" t="n"/>
      <c r="V21" s="8" t="n"/>
      <c r="W21" s="8" t="n"/>
      <c r="X21" s="8" t="n"/>
    </row>
    <row r="22">
      <c r="A22" s="5" t="inlineStr">
        <is>
          <t>f000105</t>
        </is>
      </c>
      <c r="B22" s="5" t="n">
        <v>1353</v>
      </c>
      <c r="C22" s="5" t="n">
        <v>324</v>
      </c>
      <c r="D22" s="5" t="inlineStr">
        <is>
          <t>{95BA79A7-EECB-4B9D-8F6C-82D0C48A0838}</t>
        </is>
      </c>
      <c r="E22" s="5" t="inlineStr">
        <is>
          <t>Bettles</t>
        </is>
      </c>
      <c r="F22" s="5" t="inlineStr">
        <is>
          <t>community_name</t>
        </is>
      </c>
      <c r="G22" s="5" t="n">
        <v>66.92121400000001</v>
      </c>
      <c r="H22" s="5" t="n">
        <v>-151.509126</v>
      </c>
      <c r="I22" s="5" t="n"/>
      <c r="J22" s="5" t="n"/>
      <c r="K22" s="5" t="inlineStr">
        <is>
          <t>Bettles</t>
        </is>
      </c>
      <c r="L22" s="5" t="inlineStr">
        <is>
          <t>Bettles Field</t>
        </is>
      </c>
      <c r="M22" s="5" t="inlineStr">
        <is>
          <t>medium</t>
        </is>
      </c>
      <c r="N22" s="6" t="inlineStr">
        <is>
          <t>Same CommunityID as 'Bettles Field' ({C4674250-987C-40CD-B550-D246607343D4}); the two spellings form separate hub groups in aggregate_hubs (group key is the raw string).</t>
        </is>
      </c>
      <c r="O22" s="5" t="inlineStr">
        <is>
          <t>unchanged</t>
        </is>
      </c>
      <c r="P22" s="5" t="n">
        <v>66.92133</v>
      </c>
      <c r="Q22" s="5" t="n">
        <v>-151.50909</v>
      </c>
      <c r="R22" s="7">
        <f>HYPERLINK("https://www.google.com/maps?q=66.921214,-151.509126","map: stored")</f>
        <v/>
      </c>
      <c r="S22" s="2" t="inlineStr">
        <is>
          <t>(label change)</t>
        </is>
      </c>
      <c r="T22" s="8" t="n"/>
      <c r="U22" s="8" t="n"/>
      <c r="V22" s="8" t="n"/>
      <c r="W22" s="8" t="n"/>
      <c r="X22" s="8" t="n"/>
    </row>
    <row r="23">
      <c r="A23" s="5" t="inlineStr">
        <is>
          <t>f001735</t>
        </is>
      </c>
      <c r="B23" s="5" t="n">
        <v>1219</v>
      </c>
      <c r="C23" s="5" t="n">
        <v>1198</v>
      </c>
      <c r="D23" s="5" t="inlineStr">
        <is>
          <t>{A530462C-BE7E-4917-B358-72FCC00AFB68}</t>
        </is>
      </c>
      <c r="E23" s="5" t="inlineStr">
        <is>
          <t>Naukati</t>
        </is>
      </c>
      <c r="F23" s="5" t="inlineStr">
        <is>
          <t>community_name</t>
        </is>
      </c>
      <c r="G23" s="5" t="n">
        <v>55.868903</v>
      </c>
      <c r="H23" s="5" t="n">
        <v>-133.202584</v>
      </c>
      <c r="I23" s="5" t="n"/>
      <c r="J23" s="5" t="n"/>
      <c r="K23" s="5" t="inlineStr">
        <is>
          <t>Naukati</t>
        </is>
      </c>
      <c r="L23" s="5" t="inlineStr">
        <is>
          <t>Naukati Bay</t>
        </is>
      </c>
      <c r="M23" s="5" t="inlineStr">
        <is>
          <t>medium</t>
        </is>
      </c>
      <c r="N23" s="6" t="inlineStr">
        <is>
          <t>Same CommunityID as 'Naukati Bay' ({D95D0788-C59A-4F16-AB72-3A049B1E1AFC}); the two spellings form separate hub groups in aggregate_hubs (group key is the raw string).</t>
        </is>
      </c>
      <c r="O23" s="5" t="inlineStr">
        <is>
          <t>unchanged</t>
        </is>
      </c>
      <c r="P23" s="5" t="n">
        <v>55.8689</v>
      </c>
      <c r="Q23" s="5" t="n">
        <v>-133.20258</v>
      </c>
      <c r="R23" s="7">
        <f>HYPERLINK("https://www.google.com/maps?q=55.868903,-133.202584","map: stored")</f>
        <v/>
      </c>
      <c r="S23" s="2" t="inlineStr">
        <is>
          <t>(label change)</t>
        </is>
      </c>
      <c r="T23" s="8" t="n"/>
      <c r="U23" s="8" t="n"/>
      <c r="V23" s="8" t="n"/>
      <c r="W23" s="8" t="n"/>
      <c r="X23" s="8" t="n"/>
    </row>
    <row r="24">
      <c r="A24" s="5" t="inlineStr">
        <is>
          <t>f001058</t>
        </is>
      </c>
      <c r="B24" s="5" t="n">
        <v>464</v>
      </c>
      <c r="C24" s="5" t="n">
        <v>894</v>
      </c>
      <c r="D24" s="5" t="inlineStr">
        <is>
          <t>{114FF0DE-E8A1-487F-8505-67999F6000EC}</t>
        </is>
      </c>
      <c r="E24" s="5" t="inlineStr">
        <is>
          <t>Kalskag</t>
        </is>
      </c>
      <c r="F24" s="5" t="inlineStr">
        <is>
          <t>community_name</t>
        </is>
      </c>
      <c r="G24" s="5" t="n">
        <v>61.526121</v>
      </c>
      <c r="H24" s="5" t="n">
        <v>-160.348529</v>
      </c>
      <c r="I24" s="5" t="n"/>
      <c r="J24" s="5" t="n"/>
      <c r="K24" s="5" t="inlineStr">
        <is>
          <t>Kalskag</t>
        </is>
      </c>
      <c r="L24" s="5" t="inlineStr">
        <is>
          <t>Upper Kalskag</t>
        </is>
      </c>
      <c r="M24" s="5" t="inlineStr">
        <is>
          <t>medium</t>
        </is>
      </c>
      <c r="N24" s="6" t="inlineStr">
        <is>
          <t>Same CommunityID as 'Upper Kalskag' ({50BD3072-1166-4F66-BB42-2E68C28DE654}); the two spellings form separate hub groups in aggregate_hubs (group key is the raw string).</t>
        </is>
      </c>
      <c r="O24" s="5" t="inlineStr">
        <is>
          <t>unchanged</t>
        </is>
      </c>
      <c r="P24" s="5" t="n">
        <v>61.52612</v>
      </c>
      <c r="Q24" s="5" t="n">
        <v>-160.34851</v>
      </c>
      <c r="R24" s="7">
        <f>HYPERLINK("https://www.google.com/maps?q=61.526121,-160.348529","map: stored")</f>
        <v/>
      </c>
      <c r="S24" s="2" t="inlineStr">
        <is>
          <t>(label change)</t>
        </is>
      </c>
      <c r="T24" s="8" t="n"/>
      <c r="U24" s="8" t="n"/>
      <c r="V24" s="8" t="n"/>
      <c r="W24" s="8" t="n"/>
      <c r="X24" s="8" t="n"/>
    </row>
    <row r="25">
      <c r="A25" s="5" t="inlineStr">
        <is>
          <t>f001538</t>
        </is>
      </c>
      <c r="B25" s="5" t="n">
        <v>465</v>
      </c>
      <c r="C25" s="5" t="n">
        <v>895</v>
      </c>
      <c r="D25" s="5" t="inlineStr">
        <is>
          <t>{013ABDFD-DB31-4E01-B9E3-9FF760C2BB05}</t>
        </is>
      </c>
      <c r="E25" s="5" t="inlineStr">
        <is>
          <t>Kalskag</t>
        </is>
      </c>
      <c r="F25" s="5" t="inlineStr">
        <is>
          <t>community_name</t>
        </is>
      </c>
      <c r="G25" s="5" t="n">
        <v>61.526216</v>
      </c>
      <c r="H25" s="5" t="n">
        <v>-160.348395</v>
      </c>
      <c r="I25" s="5" t="n"/>
      <c r="J25" s="5" t="n"/>
      <c r="K25" s="5" t="inlineStr">
        <is>
          <t>Kalskag</t>
        </is>
      </c>
      <c r="L25" s="5" t="inlineStr">
        <is>
          <t>Upper Kalskag</t>
        </is>
      </c>
      <c r="M25" s="5" t="inlineStr">
        <is>
          <t>medium</t>
        </is>
      </c>
      <c r="N25" s="6" t="inlineStr">
        <is>
          <t>Same CommunityID as 'Upper Kalskag' ({50BD3072-1166-4F66-BB42-2E68C28DE654}); the two spellings form separate hub groups in aggregate_hubs (group key is the raw string).</t>
        </is>
      </c>
      <c r="O25" s="5" t="inlineStr">
        <is>
          <t>unchanged</t>
        </is>
      </c>
      <c r="P25" s="5" t="n">
        <v>61.52631</v>
      </c>
      <c r="Q25" s="5" t="n">
        <v>-160.34839</v>
      </c>
      <c r="R25" s="7">
        <f>HYPERLINK("https://www.google.com/maps?q=61.526216,-160.348395","map: stored")</f>
        <v/>
      </c>
      <c r="S25" s="2" t="inlineStr">
        <is>
          <t>(label change)</t>
        </is>
      </c>
      <c r="T25" s="8" t="n"/>
      <c r="U25" s="8" t="n"/>
      <c r="V25" s="8" t="n"/>
      <c r="W25" s="8" t="n"/>
      <c r="X25" s="8" t="n"/>
    </row>
    <row r="26">
      <c r="A26" s="5" t="inlineStr">
        <is>
          <t>f001396</t>
        </is>
      </c>
      <c r="B26" s="5" t="n">
        <v>916</v>
      </c>
      <c r="C26" s="5" t="n">
        <v>896</v>
      </c>
      <c r="D26" s="5" t="inlineStr">
        <is>
          <t>{6B2DF7B5-09D6-4DC1-81C3-144F567B9178}</t>
        </is>
      </c>
      <c r="E26" s="5" t="inlineStr">
        <is>
          <t>Kalskag</t>
        </is>
      </c>
      <c r="F26" s="5" t="inlineStr">
        <is>
          <t>community_name</t>
        </is>
      </c>
      <c r="G26" s="5" t="n">
        <v>61.526748</v>
      </c>
      <c r="H26" s="5" t="n">
        <v>-160.347688</v>
      </c>
      <c r="I26" s="5" t="n"/>
      <c r="J26" s="5" t="n"/>
      <c r="K26" s="5" t="inlineStr">
        <is>
          <t>Kalskag</t>
        </is>
      </c>
      <c r="L26" s="5" t="inlineStr">
        <is>
          <t>Upper Kalskag</t>
        </is>
      </c>
      <c r="M26" s="5" t="inlineStr">
        <is>
          <t>medium</t>
        </is>
      </c>
      <c r="N26" s="6" t="inlineStr">
        <is>
          <t>Same CommunityID as 'Upper Kalskag' ({50BD3072-1166-4F66-BB42-2E68C28DE654}); the two spellings form separate hub groups in aggregate_hubs (group key is the raw string).</t>
        </is>
      </c>
      <c r="O26" s="5" t="inlineStr">
        <is>
          <t>unchanged</t>
        </is>
      </c>
      <c r="P26" s="5" t="n">
        <v>61.52667</v>
      </c>
      <c r="Q26" s="5" t="n">
        <v>-160.34772</v>
      </c>
      <c r="R26" s="7">
        <f>HYPERLINK("https://www.google.com/maps?q=61.526748,-160.347688","map: stored")</f>
        <v/>
      </c>
      <c r="S26" s="2" t="inlineStr">
        <is>
          <t>(label change)</t>
        </is>
      </c>
      <c r="T26" s="8" t="n"/>
      <c r="U26" s="8" t="n"/>
      <c r="V26" s="8" t="n"/>
      <c r="W26" s="8" t="n"/>
      <c r="X26" s="8" t="n"/>
    </row>
    <row r="27">
      <c r="A27" s="5" t="inlineStr">
        <is>
          <t>f001160</t>
        </is>
      </c>
      <c r="B27" s="5" t="n">
        <v>1163</v>
      </c>
      <c r="C27" s="5" t="n">
        <v>897</v>
      </c>
      <c r="D27" s="5" t="inlineStr">
        <is>
          <t>{41C39C16-6197-4AF1-A699-E8B804A72331}</t>
        </is>
      </c>
      <c r="E27" s="5" t="inlineStr">
        <is>
          <t>Kalskag</t>
        </is>
      </c>
      <c r="F27" s="5" t="inlineStr">
        <is>
          <t>community_name</t>
        </is>
      </c>
      <c r="G27" s="5" t="n">
        <v>61.538659</v>
      </c>
      <c r="H27" s="5" t="n">
        <v>-160.338443</v>
      </c>
      <c r="I27" s="5" t="n"/>
      <c r="J27" s="5" t="n"/>
      <c r="K27" s="5" t="inlineStr">
        <is>
          <t>Kalskag</t>
        </is>
      </c>
      <c r="L27" s="5" t="inlineStr">
        <is>
          <t>Upper Kalskag</t>
        </is>
      </c>
      <c r="M27" s="5" t="inlineStr">
        <is>
          <t>medium</t>
        </is>
      </c>
      <c r="N27" s="6" t="inlineStr">
        <is>
          <t>Same CommunityID as 'Upper Kalskag' ({50BD3072-1166-4F66-BB42-2E68C28DE654}); the two spellings form separate hub groups in aggregate_hubs (group key is the raw string).</t>
        </is>
      </c>
      <c r="O27" s="5" t="inlineStr">
        <is>
          <t>unchanged</t>
        </is>
      </c>
      <c r="P27" s="5" t="n">
        <v>61.5387</v>
      </c>
      <c r="Q27" s="5" t="n">
        <v>-160.33838</v>
      </c>
      <c r="R27" s="7">
        <f>HYPERLINK("https://www.google.com/maps?q=61.538659,-160.338443","map: stored")</f>
        <v/>
      </c>
      <c r="S27" s="2" t="inlineStr">
        <is>
          <t>(label change)</t>
        </is>
      </c>
      <c r="T27" s="8" t="n"/>
      <c r="U27" s="8" t="n"/>
      <c r="V27" s="8" t="n"/>
      <c r="W27" s="8" t="n"/>
      <c r="X27" s="8" t="n"/>
    </row>
    <row r="28">
      <c r="A28" s="5" t="inlineStr">
        <is>
          <t>f001305</t>
        </is>
      </c>
      <c r="B28" s="5" t="n">
        <v>163</v>
      </c>
      <c r="C28" s="5" t="n">
        <v>520</v>
      </c>
      <c r="D28" s="5" t="inlineStr">
        <is>
          <t>{488BFE21-36C1-4EF2-9D43-1DE0A36534D0}</t>
        </is>
      </c>
      <c r="E28" s="5" t="inlineStr">
        <is>
          <t>Dutch Harbor</t>
        </is>
      </c>
      <c r="F28" s="5" t="inlineStr">
        <is>
          <t>community_name</t>
        </is>
      </c>
      <c r="G28" s="5" t="n">
        <v>53.88725</v>
      </c>
      <c r="H28" s="5" t="n">
        <v>-166.546839</v>
      </c>
      <c r="I28" s="5" t="n"/>
      <c r="J28" s="5" t="n"/>
      <c r="K28" s="5" t="inlineStr">
        <is>
          <t>Dutch Harbor</t>
        </is>
      </c>
      <c r="L28" s="5" t="inlineStr">
        <is>
          <t>Unalaska</t>
        </is>
      </c>
      <c r="M28" s="5" t="inlineStr">
        <is>
          <t>medium</t>
        </is>
      </c>
      <c r="N28" s="6" t="inlineStr">
        <is>
          <t>Same CommunityID as 'Unalaska' ({F020D8C7-7FD0-4AFE-85DC-43D1C0A0B5F0}); the two spellings form separate hub groups in aggregate_hubs (group key is the raw string).</t>
        </is>
      </c>
      <c r="O28" s="5" t="inlineStr">
        <is>
          <t>unchanged</t>
        </is>
      </c>
      <c r="P28" s="5" t="n">
        <v>53.88733</v>
      </c>
      <c r="Q28" s="5" t="n">
        <v>-166.54681</v>
      </c>
      <c r="R28" s="7">
        <f>HYPERLINK("https://www.google.com/maps?q=53.887250,-166.546839","map: stored")</f>
        <v/>
      </c>
      <c r="S28" s="2" t="inlineStr">
        <is>
          <t>(label change)</t>
        </is>
      </c>
      <c r="T28" s="8" t="n"/>
      <c r="U28" s="8" t="n"/>
      <c r="V28" s="8" t="n"/>
      <c r="W28" s="8" t="n"/>
      <c r="X28" s="8" t="n"/>
    </row>
    <row r="29">
      <c r="A29" s="5" t="inlineStr">
        <is>
          <t>f000895</t>
        </is>
      </c>
      <c r="B29" s="5" t="n">
        <v>443</v>
      </c>
      <c r="C29" s="5" t="n">
        <v>521</v>
      </c>
      <c r="D29" s="5" t="inlineStr">
        <is>
          <t>{8911BFBD-59A5-485A-86C4-7EA6C3180F66}</t>
        </is>
      </c>
      <c r="E29" s="5" t="inlineStr">
        <is>
          <t>Dutch Harbor</t>
        </is>
      </c>
      <c r="F29" s="5" t="inlineStr">
        <is>
          <t>community_name</t>
        </is>
      </c>
      <c r="G29" s="5" t="n">
        <v>53.896944</v>
      </c>
      <c r="H29" s="5" t="n">
        <v>-166.54</v>
      </c>
      <c r="I29" s="5" t="n"/>
      <c r="J29" s="5" t="n"/>
      <c r="K29" s="5" t="inlineStr">
        <is>
          <t>Dutch Harbor</t>
        </is>
      </c>
      <c r="L29" s="5" t="inlineStr">
        <is>
          <t>Unalaska</t>
        </is>
      </c>
      <c r="M29" s="5" t="inlineStr">
        <is>
          <t>medium</t>
        </is>
      </c>
      <c r="N29" s="6" t="inlineStr">
        <is>
          <t>Same CommunityID as 'Unalaska' ({F020D8C7-7FD0-4AFE-85DC-43D1C0A0B5F0}); the two spellings form separate hub groups in aggregate_hubs (group key is the raw string).</t>
        </is>
      </c>
      <c r="O29" s="5" t="inlineStr">
        <is>
          <t>unchanged</t>
        </is>
      </c>
      <c r="P29" s="5" t="n">
        <v>53.89709</v>
      </c>
      <c r="Q29" s="5" t="n">
        <v>-166.53998</v>
      </c>
      <c r="R29" s="7">
        <f>HYPERLINK("https://www.google.com/maps?q=53.896944,-166.540000","map: stored")</f>
        <v/>
      </c>
      <c r="S29" s="2" t="inlineStr">
        <is>
          <t>(label change)</t>
        </is>
      </c>
      <c r="T29" s="8" t="n"/>
      <c r="U29" s="8" t="n"/>
      <c r="V29" s="8" t="n"/>
      <c r="W29" s="8" t="n"/>
      <c r="X29" s="8" t="n"/>
    </row>
    <row r="30">
      <c r="A30" s="5" t="inlineStr">
        <is>
          <t>f000335</t>
        </is>
      </c>
      <c r="B30" s="5" t="n">
        <v>865</v>
      </c>
      <c r="C30" s="5" t="n">
        <v>522</v>
      </c>
      <c r="D30" s="5" t="inlineStr">
        <is>
          <t>{7D987B23-D133-42DE-B929-973C9C816886}</t>
        </is>
      </c>
      <c r="E30" s="5" t="inlineStr">
        <is>
          <t>Dutch Harbor</t>
        </is>
      </c>
      <c r="F30" s="5" t="inlineStr">
        <is>
          <t>community_name</t>
        </is>
      </c>
      <c r="G30" s="5" t="n">
        <v>53.912423</v>
      </c>
      <c r="H30" s="5" t="n">
        <v>-166.506715</v>
      </c>
      <c r="I30" s="5" t="n"/>
      <c r="J30" s="5" t="n"/>
      <c r="K30" s="5" t="inlineStr">
        <is>
          <t>Dutch Harbor</t>
        </is>
      </c>
      <c r="L30" s="5" t="inlineStr">
        <is>
          <t>Unalaska</t>
        </is>
      </c>
      <c r="M30" s="5" t="inlineStr">
        <is>
          <t>medium</t>
        </is>
      </c>
      <c r="N30" s="6" t="inlineStr">
        <is>
          <t>Same CommunityID as 'Unalaska' ({F020D8C7-7FD0-4AFE-85DC-43D1C0A0B5F0}); the two spellings form separate hub groups in aggregate_hubs (group key is the raw string).</t>
        </is>
      </c>
      <c r="O30" s="5" t="inlineStr">
        <is>
          <t>unchanged</t>
        </is>
      </c>
      <c r="P30" s="5" t="n">
        <v>53.91248</v>
      </c>
      <c r="Q30" s="5" t="n">
        <v>-166.50671</v>
      </c>
      <c r="R30" s="7">
        <f>HYPERLINK("https://www.google.com/maps?q=53.912423,-166.506715","map: stored")</f>
        <v/>
      </c>
      <c r="S30" s="2" t="inlineStr">
        <is>
          <t>(label change)</t>
        </is>
      </c>
      <c r="T30" s="8" t="n"/>
      <c r="U30" s="8" t="n"/>
      <c r="V30" s="8" t="n"/>
      <c r="W30" s="8" t="n"/>
      <c r="X30" s="8" t="n"/>
    </row>
    <row r="31">
      <c r="A31" s="5" t="inlineStr">
        <is>
          <t>f000532</t>
        </is>
      </c>
      <c r="B31" s="5" t="n">
        <v>1049</v>
      </c>
      <c r="C31" s="5" t="n">
        <v>523</v>
      </c>
      <c r="D31" s="5" t="inlineStr">
        <is>
          <t>{F1376769-3624-43A5-9248-CADA5B67B566}</t>
        </is>
      </c>
      <c r="E31" s="5" t="inlineStr">
        <is>
          <t>Dutch Harbor</t>
        </is>
      </c>
      <c r="F31" s="5" t="inlineStr">
        <is>
          <t>community_name</t>
        </is>
      </c>
      <c r="G31" s="5" t="n">
        <v>53.90514</v>
      </c>
      <c r="H31" s="5" t="n">
        <v>-166.5478</v>
      </c>
      <c r="I31" s="5" t="n"/>
      <c r="J31" s="5" t="n"/>
      <c r="K31" s="5" t="inlineStr">
        <is>
          <t>Dutch Harbor</t>
        </is>
      </c>
      <c r="L31" s="5" t="inlineStr">
        <is>
          <t>Unalaska</t>
        </is>
      </c>
      <c r="M31" s="5" t="inlineStr">
        <is>
          <t>medium</t>
        </is>
      </c>
      <c r="N31" s="6" t="inlineStr">
        <is>
          <t>Same CommunityID as 'Unalaska' ({F020D8C7-7FD0-4AFE-85DC-43D1C0A0B5F0}); the two spellings form separate hub groups in aggregate_hubs (group key is the raw string).</t>
        </is>
      </c>
      <c r="O31" s="5" t="inlineStr">
        <is>
          <t>unchanged</t>
        </is>
      </c>
      <c r="P31" s="5" t="n">
        <v>53.90527</v>
      </c>
      <c r="Q31" s="5" t="n">
        <v>-166.54779</v>
      </c>
      <c r="R31" s="7">
        <f>HYPERLINK("https://www.google.com/maps?q=53.905140,-166.547800","map: stored")</f>
        <v/>
      </c>
      <c r="S31" s="2" t="inlineStr">
        <is>
          <t>(label change)</t>
        </is>
      </c>
      <c r="T31" s="8" t="n"/>
      <c r="U31" s="8" t="n"/>
      <c r="V31" s="8" t="n"/>
      <c r="W31" s="8" t="n"/>
      <c r="X31" s="8" t="n"/>
    </row>
  </sheetData>
  <autoFilter ref="A1:X31"/>
  <dataValidations count="1">
    <dataValidation sqref="T2:T31" showDropDown="0" showInputMessage="0" showErrorMessage="0" allowBlank="1" type="list">
      <formula1>"approve,approve with my value,reject,ask AEA,skip for now"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2026-10-05T21:21:22Z</dcterms:created>
  <dcterms:modified xsi:type="dcterms:W3CDTF">2026-10-05T21:21:23Z</dcterms:modified>
</cp:coreProperties>
</file>