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queue" sheetId="1" state="visible" r:id="rId1"/>
  </sheets>
  <definedNames>
    <definedName name="_xlnm._FilterDatabase" localSheetId="0" hidden="1">'Review queue'!$A$1:$T$62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80" customWidth="1" min="12" max="12"/>
    <col width="30" customWidth="1" min="13" max="13"/>
    <col width="14" customWidth="1" min="14" max="14"/>
    <col width="13" customWidth="1" min="15" max="15"/>
    <col width="13" customWidth="1" min="16" max="16"/>
    <col width="22" customWidth="1" min="17" max="17"/>
    <col width="40" customWidth="1" min="18" max="18"/>
    <col width="13" customWidth="1" min="19" max="19"/>
    <col width="13" customWidth="1" min="20" max="20"/>
  </cols>
  <sheetData>
    <row r="1">
      <c r="A1" s="1" t="inlineStr">
        <is>
          <t>record_id</t>
        </is>
      </c>
      <c r="B1" s="1" t="inlineStr">
        <is>
          <t>source_row</t>
        </is>
      </c>
      <c r="C1" s="1" t="inlineStr">
        <is>
          <t>community_name</t>
        </is>
      </c>
      <c r="D1" s="1" t="inlineStr">
        <is>
          <t>entity_name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tank_farm_id</t>
        </is>
      </c>
      <c r="H1" s="1" t="inlineStr">
        <is>
          <t>total_capacity</t>
        </is>
      </c>
      <c r="I1" s="1" t="inlineStr">
        <is>
          <t>source</t>
        </is>
      </c>
      <c r="J1" s="1" t="inlineStr">
        <is>
          <t>detector</t>
        </is>
      </c>
      <c r="K1" s="1" t="inlineStr">
        <is>
          <t>priority</t>
        </is>
      </c>
      <c r="L1" s="1" t="inlineStr">
        <is>
          <t>detail</t>
        </is>
      </c>
      <c r="M1" s="1" t="inlineStr">
        <is>
          <t>suggestion</t>
        </is>
      </c>
      <c r="N1" s="1" t="inlineStr">
        <is>
          <t>group_key</t>
        </is>
      </c>
      <c r="O1" s="1" t="inlineStr">
        <is>
          <t>map</t>
        </is>
      </c>
      <c r="P1" s="1" t="inlineStr">
        <is>
          <t>decision</t>
        </is>
      </c>
      <c r="Q1" s="1" t="inlineStr">
        <is>
          <t>your_value</t>
        </is>
      </c>
      <c r="R1" s="1" t="inlineStr">
        <is>
          <t>notes</t>
        </is>
      </c>
      <c r="S1" s="1" t="inlineStr">
        <is>
          <t>reviewed_by</t>
        </is>
      </c>
      <c r="T1" s="1" t="inlineStr">
        <is>
          <t>reviewed_on</t>
        </is>
      </c>
    </row>
    <row r="2">
      <c r="A2" s="2" t="inlineStr">
        <is>
          <t>{14C061AA-262D-4039-AB9A-C4C93FF6ACD2}</t>
        </is>
      </c>
      <c r="B2" s="2" t="inlineStr">
        <is>
          <t>584</t>
        </is>
      </c>
      <c r="C2" s="2" t="inlineStr">
        <is>
          <t>Fairbanks</t>
        </is>
      </c>
      <c r="D2" s="2" t="inlineStr">
        <is>
          <t>AT&amp;T - Fairbanks - Buck Microwave Repeater</t>
        </is>
      </c>
      <c r="E2" s="2" t="inlineStr">
        <is>
          <t>64.3795</t>
        </is>
      </c>
      <c r="F2" s="2" t="inlineStr">
        <is>
          <t>-146.3972</t>
        </is>
      </c>
      <c r="G2" s="2" t="n"/>
      <c r="H2" s="2" t="inlineStr">
        <is>
          <t>5000</t>
        </is>
      </c>
      <c r="I2" s="2" t="inlineStr">
        <is>
          <t>boundary</t>
        </is>
      </c>
      <c r="J2" s="2" t="inlineStr">
        <is>
          <t>boundary_mismatch</t>
        </is>
      </c>
      <c r="K2" s="2" t="inlineStr">
        <is>
          <t>review</t>
        </is>
      </c>
      <c r="L2" s="3" t="inlineStr">
        <is>
          <t>inside Harding-Birch Lakes; 72.01 km from own boundary</t>
        </is>
      </c>
      <c r="M2" s="2" t="inlineStr"/>
      <c r="N2" s="2" t="inlineStr"/>
      <c r="O2" s="4">
        <f>HYPERLINK("https://www.google.com/maps?q=64.3795,-146.3972","map")</f>
        <v/>
      </c>
      <c r="P2" s="5" t="inlineStr"/>
      <c r="Q2" s="5" t="inlineStr"/>
      <c r="R2" s="5" t="inlineStr"/>
      <c r="S2" s="5" t="inlineStr"/>
      <c r="T2" s="5" t="inlineStr"/>
    </row>
    <row r="3">
      <c r="A3" s="2" t="inlineStr">
        <is>
          <t>{32574618-B703-4A8E-85F9-35EC4E4EA4A9}</t>
        </is>
      </c>
      <c r="B3" s="2" t="inlineStr">
        <is>
          <t>1317</t>
        </is>
      </c>
      <c r="C3" s="2" t="inlineStr">
        <is>
          <t>Pilot Point</t>
        </is>
      </c>
      <c r="D3" s="2" t="inlineStr">
        <is>
          <t>AK DOT&amp;PF Pilot Point</t>
        </is>
      </c>
      <c r="E3" s="2" t="inlineStr">
        <is>
          <t>57.578333</t>
        </is>
      </c>
      <c r="F3" s="2" t="inlineStr">
        <is>
          <t>-157.053889</t>
        </is>
      </c>
      <c r="G3" s="2" t="n"/>
      <c r="H3" s="2" t="inlineStr">
        <is>
          <t>1000</t>
        </is>
      </c>
      <c r="I3" s="2" t="inlineStr">
        <is>
          <t>boundary</t>
        </is>
      </c>
      <c r="J3" s="2" t="inlineStr">
        <is>
          <t>boundary_mismatch</t>
        </is>
      </c>
      <c r="K3" s="2" t="inlineStr">
        <is>
          <t>review</t>
        </is>
      </c>
      <c r="L3" s="3" t="inlineStr">
        <is>
          <t>inside Ugashik; 27.57 km from own boundary</t>
        </is>
      </c>
      <c r="M3" s="2" t="inlineStr"/>
      <c r="N3" s="2" t="inlineStr"/>
      <c r="O3" s="4">
        <f>HYPERLINK("https://www.google.com/maps?q=57.578333,-157.053889","map")</f>
        <v/>
      </c>
      <c r="P3" s="5" t="inlineStr"/>
      <c r="Q3" s="5" t="inlineStr"/>
      <c r="R3" s="5" t="inlineStr"/>
      <c r="S3" s="5" t="inlineStr"/>
      <c r="T3" s="5" t="inlineStr"/>
    </row>
    <row r="4">
      <c r="A4" s="2" t="inlineStr">
        <is>
          <t>{464FE024-2A99-4A73-956B-AFDC49328212}</t>
        </is>
      </c>
      <c r="B4" s="2" t="inlineStr">
        <is>
          <t>1711</t>
        </is>
      </c>
      <c r="C4" s="2" t="inlineStr">
        <is>
          <t>Valdez</t>
        </is>
      </c>
      <c r="D4" s="2" t="inlineStr">
        <is>
          <t>DOT&amp;PF APT / MS</t>
        </is>
      </c>
      <c r="E4" s="2" t="inlineStr">
        <is>
          <t>60.499369</t>
        </is>
      </c>
      <c r="F4" s="2" t="inlineStr">
        <is>
          <t>-145.479589</t>
        </is>
      </c>
      <c r="G4" s="2" t="n"/>
      <c r="H4" s="2" t="inlineStr">
        <is>
          <t>14000</t>
        </is>
      </c>
      <c r="I4" s="2" t="inlineStr">
        <is>
          <t>boundary</t>
        </is>
      </c>
      <c r="J4" s="2" t="inlineStr">
        <is>
          <t>boundary_mismatch</t>
        </is>
      </c>
      <c r="K4" s="2" t="inlineStr">
        <is>
          <t>review</t>
        </is>
      </c>
      <c r="L4" s="3" t="inlineStr">
        <is>
          <t>inside Cordova; 61.81 km from own boundary</t>
        </is>
      </c>
      <c r="M4" s="2" t="inlineStr"/>
      <c r="N4" s="2" t="inlineStr"/>
      <c r="O4" s="4">
        <f>HYPERLINK("https://www.google.com/maps?q=60.499369,-145.479589","map")</f>
        <v/>
      </c>
      <c r="P4" s="5" t="inlineStr"/>
      <c r="Q4" s="5" t="inlineStr"/>
      <c r="R4" s="5" t="inlineStr"/>
      <c r="S4" s="5" t="inlineStr"/>
      <c r="T4" s="5" t="inlineStr"/>
    </row>
    <row r="5">
      <c r="A5" s="2" t="inlineStr">
        <is>
          <t>{509CF7C1-AE7E-4289-8EFE-3298B15AD90D}</t>
        </is>
      </c>
      <c r="B5" s="2" t="inlineStr">
        <is>
          <t>1742</t>
        </is>
      </c>
      <c r="C5" s="2" t="inlineStr">
        <is>
          <t>Wales</t>
        </is>
      </c>
      <c r="D5" s="2" t="inlineStr">
        <is>
          <t>Alaska Village Electric Cooperative (AVEC)</t>
        </is>
      </c>
      <c r="E5" s="2" t="inlineStr">
        <is>
          <t>67.08767141</t>
        </is>
      </c>
      <c r="F5" s="2" t="inlineStr">
        <is>
          <t>-157.8567222</t>
        </is>
      </c>
      <c r="G5" s="2" t="inlineStr">
        <is>
          <t>179</t>
        </is>
      </c>
      <c r="H5" s="2" t="inlineStr">
        <is>
          <t>74530</t>
        </is>
      </c>
      <c r="I5" s="2" t="inlineStr">
        <is>
          <t>boundary</t>
        </is>
      </c>
      <c r="J5" s="2" t="inlineStr">
        <is>
          <t>boundary_mismatch</t>
        </is>
      </c>
      <c r="K5" s="2" t="inlineStr">
        <is>
          <t>review</t>
        </is>
      </c>
      <c r="L5" s="3" t="inlineStr">
        <is>
          <t>inside Ambler; 485.46 km from own boundary</t>
        </is>
      </c>
      <c r="M5" s="2" t="inlineStr"/>
      <c r="N5" s="2" t="inlineStr"/>
      <c r="O5" s="4">
        <f>HYPERLINK("https://www.google.com/maps?q=67.08767141,-157.8567222","map")</f>
        <v/>
      </c>
      <c r="P5" s="5" t="inlineStr"/>
      <c r="Q5" s="5" t="inlineStr"/>
      <c r="R5" s="5" t="inlineStr"/>
      <c r="S5" s="5" t="inlineStr"/>
      <c r="T5" s="5" t="inlineStr"/>
    </row>
    <row r="6">
      <c r="A6" s="2" t="inlineStr">
        <is>
          <t>{5C01B036-AAC1-4876-BF5E-30428802A639}</t>
        </is>
      </c>
      <c r="B6" s="2" t="inlineStr">
        <is>
          <t>355</t>
        </is>
      </c>
      <c r="C6" s="2" t="inlineStr">
        <is>
          <t>Chefornak</t>
        </is>
      </c>
      <c r="D6" s="2" t="inlineStr">
        <is>
          <t>Lower Kuskokwim School District</t>
        </is>
      </c>
      <c r="E6" s="2" t="inlineStr">
        <is>
          <t>60.85685837</t>
        </is>
      </c>
      <c r="F6" s="2" t="inlineStr">
        <is>
          <t>-162.2765278</t>
        </is>
      </c>
      <c r="G6" s="2" t="inlineStr">
        <is>
          <t>710</t>
        </is>
      </c>
      <c r="H6" s="2" t="inlineStr">
        <is>
          <t>24700</t>
        </is>
      </c>
      <c r="I6" s="2" t="inlineStr">
        <is>
          <t>boundary</t>
        </is>
      </c>
      <c r="J6" s="2" t="inlineStr">
        <is>
          <t>boundary_mismatch</t>
        </is>
      </c>
      <c r="K6" s="2" t="inlineStr">
        <is>
          <t>review</t>
        </is>
      </c>
      <c r="L6" s="3" t="inlineStr">
        <is>
          <t>inside Atmautluak; 130.85 km from own boundary</t>
        </is>
      </c>
      <c r="M6" s="2" t="inlineStr"/>
      <c r="N6" s="2" t="inlineStr"/>
      <c r="O6" s="4">
        <f>HYPERLINK("https://www.google.com/maps?q=60.85685837,-162.2765278","map")</f>
        <v/>
      </c>
      <c r="P6" s="5" t="inlineStr"/>
      <c r="Q6" s="5" t="inlineStr"/>
      <c r="R6" s="5" t="inlineStr"/>
      <c r="S6" s="5" t="inlineStr"/>
      <c r="T6" s="5" t="inlineStr"/>
    </row>
    <row r="7">
      <c r="A7" s="2" t="inlineStr">
        <is>
          <t>{65DFB897-7E85-4456-850D-913C7D010004}</t>
        </is>
      </c>
      <c r="B7" s="2" t="inlineStr">
        <is>
          <t>1745</t>
        </is>
      </c>
      <c r="C7" s="2" t="inlineStr">
        <is>
          <t>Wasilla</t>
        </is>
      </c>
      <c r="D7" s="2" t="inlineStr">
        <is>
          <t>State of Alaska Department of Corrections - Point Mackenzie Correctional Farm</t>
        </is>
      </c>
      <c r="E7" s="2" t="inlineStr">
        <is>
          <t>61.41665</t>
        </is>
      </c>
      <c r="F7" s="2" t="inlineStr">
        <is>
          <t>-150.079139</t>
        </is>
      </c>
      <c r="G7" s="2" t="n"/>
      <c r="H7" s="2" t="inlineStr">
        <is>
          <t>3000</t>
        </is>
      </c>
      <c r="I7" s="2" t="inlineStr">
        <is>
          <t>boundary</t>
        </is>
      </c>
      <c r="J7" s="2" t="inlineStr">
        <is>
          <t>boundary_mismatch</t>
        </is>
      </c>
      <c r="K7" s="2" t="inlineStr">
        <is>
          <t>review</t>
        </is>
      </c>
      <c r="L7" s="3" t="inlineStr">
        <is>
          <t>inside Point MacKenzie; 31.89 km from own boundary</t>
        </is>
      </c>
      <c r="M7" s="2" t="inlineStr"/>
      <c r="N7" s="2" t="inlineStr"/>
      <c r="O7" s="4">
        <f>HYPERLINK("https://www.google.com/maps?q=61.41665,-150.079139","map")</f>
        <v/>
      </c>
      <c r="P7" s="5" t="inlineStr"/>
      <c r="Q7" s="5" t="inlineStr"/>
      <c r="R7" s="5" t="inlineStr"/>
      <c r="S7" s="5" t="inlineStr"/>
      <c r="T7" s="5" t="inlineStr"/>
    </row>
    <row r="8">
      <c r="A8" s="2" t="inlineStr">
        <is>
          <t>{6E8C9118-7533-452B-9658-1DC4DFD6FA05}</t>
        </is>
      </c>
      <c r="B8" s="2" t="inlineStr">
        <is>
          <t>670</t>
        </is>
      </c>
      <c r="C8" s="2" t="inlineStr">
        <is>
          <t>Glennallen</t>
        </is>
      </c>
      <c r="D8" s="2" t="inlineStr">
        <is>
          <t>AT&amp;T - Glennallen - Kimball Pass</t>
        </is>
      </c>
      <c r="E8" s="2" t="inlineStr">
        <is>
          <t>61.5135</t>
        </is>
      </c>
      <c r="F8" s="2" t="inlineStr">
        <is>
          <t>-145.029</t>
        </is>
      </c>
      <c r="G8" s="2" t="n"/>
      <c r="H8" s="2" t="inlineStr">
        <is>
          <t>5000</t>
        </is>
      </c>
      <c r="I8" s="2" t="inlineStr">
        <is>
          <t>boundary</t>
        </is>
      </c>
      <c r="J8" s="2" t="inlineStr">
        <is>
          <t>boundary_mismatch</t>
        </is>
      </c>
      <c r="K8" s="2" t="inlineStr">
        <is>
          <t>review</t>
        </is>
      </c>
      <c r="L8" s="3" t="inlineStr">
        <is>
          <t>inside Tonsina; 65.71 km from own boundary</t>
        </is>
      </c>
      <c r="M8" s="2" t="inlineStr"/>
      <c r="N8" s="2" t="inlineStr"/>
      <c r="O8" s="4">
        <f>HYPERLINK("https://www.google.com/maps?q=61.5135,-145.029","map")</f>
        <v/>
      </c>
      <c r="P8" s="5" t="inlineStr"/>
      <c r="Q8" s="5" t="inlineStr"/>
      <c r="R8" s="5" t="inlineStr"/>
      <c r="S8" s="5" t="inlineStr"/>
      <c r="T8" s="5" t="inlineStr"/>
    </row>
    <row r="9">
      <c r="A9" s="2" t="inlineStr">
        <is>
          <t>{72E67206-F008-47E9-AE98-4C85EAD98765}</t>
        </is>
      </c>
      <c r="B9" s="2" t="inlineStr">
        <is>
          <t>950</t>
        </is>
      </c>
      <c r="C9" s="2" t="inlineStr">
        <is>
          <t>Kipnuk</t>
        </is>
      </c>
      <c r="D9" s="2" t="inlineStr">
        <is>
          <t>Lower Kuskokwim School District</t>
        </is>
      </c>
      <c r="E9" s="2" t="inlineStr">
        <is>
          <t>60.85685837</t>
        </is>
      </c>
      <c r="F9" s="2" t="inlineStr">
        <is>
          <t>-162.2765278</t>
        </is>
      </c>
      <c r="G9" s="2" t="inlineStr">
        <is>
          <t>710</t>
        </is>
      </c>
      <c r="H9" s="2" t="inlineStr">
        <is>
          <t>24700</t>
        </is>
      </c>
      <c r="I9" s="2" t="inlineStr">
        <is>
          <t>boundary</t>
        </is>
      </c>
      <c r="J9" s="2" t="inlineStr">
        <is>
          <t>boundary_mismatch</t>
        </is>
      </c>
      <c r="K9" s="2" t="inlineStr">
        <is>
          <t>review</t>
        </is>
      </c>
      <c r="L9" s="3" t="inlineStr">
        <is>
          <t>inside Atmautluak; 136.88 km from own boundary</t>
        </is>
      </c>
      <c r="M9" s="2" t="inlineStr"/>
      <c r="N9" s="2" t="inlineStr"/>
      <c r="O9" s="4">
        <f>HYPERLINK("https://www.google.com/maps?q=60.85685837,-162.2765278","map")</f>
        <v/>
      </c>
      <c r="P9" s="5" t="inlineStr"/>
      <c r="Q9" s="5" t="inlineStr"/>
      <c r="R9" s="5" t="inlineStr"/>
      <c r="S9" s="5" t="inlineStr"/>
      <c r="T9" s="5" t="inlineStr"/>
    </row>
    <row r="10">
      <c r="A10" s="2" t="inlineStr">
        <is>
          <t>{7A206A94-00D4-4121-BA0A-35593A0FADDC}</t>
        </is>
      </c>
      <c r="B10" s="2" t="inlineStr">
        <is>
          <t>1441</t>
        </is>
      </c>
      <c r="C10" s="2" t="inlineStr">
        <is>
          <t>Saint Michael</t>
        </is>
      </c>
      <c r="D10" s="2" t="inlineStr">
        <is>
          <t>Bering Straits School District</t>
        </is>
      </c>
      <c r="E10" s="2" t="inlineStr">
        <is>
          <t>65.33289523</t>
        </is>
      </c>
      <c r="F10" s="2" t="inlineStr">
        <is>
          <t>-166.4864243</t>
        </is>
      </c>
      <c r="G10" s="2" t="inlineStr">
        <is>
          <t>694</t>
        </is>
      </c>
      <c r="H10" s="2" t="inlineStr">
        <is>
          <t>52000</t>
        </is>
      </c>
      <c r="I10" s="2" t="inlineStr">
        <is>
          <t>boundary</t>
        </is>
      </c>
      <c r="J10" s="2" t="inlineStr">
        <is>
          <t>boundary_mismatch</t>
        </is>
      </c>
      <c r="K10" s="2" t="inlineStr">
        <is>
          <t>review</t>
        </is>
      </c>
      <c r="L10" s="3" t="inlineStr">
        <is>
          <t>inside Brevig Mission; 289.32 km from own boundary</t>
        </is>
      </c>
      <c r="M10" s="2" t="inlineStr"/>
      <c r="N10" s="2" t="inlineStr"/>
      <c r="O10" s="4">
        <f>HYPERLINK("https://www.google.com/maps?q=65.33289523,-166.4864243","map")</f>
        <v/>
      </c>
      <c r="P10" s="5" t="inlineStr"/>
      <c r="Q10" s="5" t="inlineStr"/>
      <c r="R10" s="5" t="inlineStr"/>
      <c r="S10" s="5" t="inlineStr"/>
      <c r="T10" s="5" t="inlineStr"/>
    </row>
    <row r="11">
      <c r="A11" s="2" t="inlineStr">
        <is>
          <t>{807124A8-0A6D-42E6-98ED-616888004B49}</t>
        </is>
      </c>
      <c r="B11" s="2" t="inlineStr">
        <is>
          <t>634</t>
        </is>
      </c>
      <c r="C11" s="2" t="inlineStr">
        <is>
          <t>Fort Yukon</t>
        </is>
      </c>
      <c r="D11" s="2" t="inlineStr">
        <is>
          <t>Yukon Flats School District</t>
        </is>
      </c>
      <c r="E11" s="2" t="inlineStr">
        <is>
          <t>66.35966616</t>
        </is>
      </c>
      <c r="F11" s="2" t="inlineStr">
        <is>
          <t>-147.3966131</t>
        </is>
      </c>
      <c r="G11" s="2" t="inlineStr">
        <is>
          <t>157</t>
        </is>
      </c>
      <c r="H11" s="2" t="inlineStr">
        <is>
          <t>42000</t>
        </is>
      </c>
      <c r="I11" s="2" t="inlineStr">
        <is>
          <t>boundary</t>
        </is>
      </c>
      <c r="J11" s="2" t="inlineStr">
        <is>
          <t>boundary_mismatch</t>
        </is>
      </c>
      <c r="K11" s="2" t="inlineStr">
        <is>
          <t>review</t>
        </is>
      </c>
      <c r="L11" s="3" t="inlineStr">
        <is>
          <t>inside Beaver; 96.19 km from own boundary</t>
        </is>
      </c>
      <c r="M11" s="2" t="inlineStr"/>
      <c r="N11" s="2" t="inlineStr"/>
      <c r="O11" s="4">
        <f>HYPERLINK("https://www.google.com/maps?q=66.35966616,-147.3966131","map")</f>
        <v/>
      </c>
      <c r="P11" s="5" t="inlineStr"/>
      <c r="Q11" s="5" t="inlineStr"/>
      <c r="R11" s="5" t="inlineStr"/>
      <c r="S11" s="5" t="inlineStr"/>
      <c r="T11" s="5" t="inlineStr"/>
    </row>
    <row r="12">
      <c r="A12" s="2" t="inlineStr">
        <is>
          <t>{8970B1E0-DE4E-4A98-8A1B-5C858F18F05A}</t>
        </is>
      </c>
      <c r="B12" s="2" t="inlineStr">
        <is>
          <t>1467</t>
        </is>
      </c>
      <c r="C12" s="2" t="inlineStr">
        <is>
          <t>Savoonga</t>
        </is>
      </c>
      <c r="D12" s="2" t="inlineStr">
        <is>
          <t>Bering Straits School District</t>
        </is>
      </c>
      <c r="E12" s="2" t="inlineStr">
        <is>
          <t>65.33289523</t>
        </is>
      </c>
      <c r="F12" s="2" t="inlineStr">
        <is>
          <t>-166.4864243</t>
        </is>
      </c>
      <c r="G12" s="2" t="inlineStr">
        <is>
          <t>694</t>
        </is>
      </c>
      <c r="H12" s="2" t="inlineStr">
        <is>
          <t>52000</t>
        </is>
      </c>
      <c r="I12" s="2" t="inlineStr">
        <is>
          <t>boundary</t>
        </is>
      </c>
      <c r="J12" s="2" t="inlineStr">
        <is>
          <t>boundary_mismatch</t>
        </is>
      </c>
      <c r="K12" s="2" t="inlineStr">
        <is>
          <t>review</t>
        </is>
      </c>
      <c r="L12" s="3" t="inlineStr">
        <is>
          <t>inside Brevig Mission; 262.61 km from own boundary</t>
        </is>
      </c>
      <c r="M12" s="2" t="inlineStr"/>
      <c r="N12" s="2" t="inlineStr"/>
      <c r="O12" s="4">
        <f>HYPERLINK("https://www.google.com/maps?q=65.33289523,-166.4864243","map")</f>
        <v/>
      </c>
      <c r="P12" s="5" t="inlineStr"/>
      <c r="Q12" s="5" t="inlineStr"/>
      <c r="R12" s="5" t="inlineStr"/>
      <c r="S12" s="5" t="inlineStr"/>
      <c r="T12" s="5" t="inlineStr"/>
    </row>
    <row r="13">
      <c r="A13" s="2" t="inlineStr">
        <is>
          <t>{96705E92-63AB-41A0-B0E8-52639E90CEC8}</t>
        </is>
      </c>
      <c r="B13" s="2" t="inlineStr">
        <is>
          <t>1664</t>
        </is>
      </c>
      <c r="C13" s="2" t="inlineStr">
        <is>
          <t>Tuntutuliak</t>
        </is>
      </c>
      <c r="D13" s="2" t="inlineStr">
        <is>
          <t>Lower Kuskokwim School District</t>
        </is>
      </c>
      <c r="E13" s="2" t="inlineStr">
        <is>
          <t>60.85685837</t>
        </is>
      </c>
      <c r="F13" s="2" t="inlineStr">
        <is>
          <t>-162.2765278</t>
        </is>
      </c>
      <c r="G13" s="2" t="inlineStr">
        <is>
          <t>710</t>
        </is>
      </c>
      <c r="H13" s="2" t="inlineStr">
        <is>
          <t>24700</t>
        </is>
      </c>
      <c r="I13" s="2" t="inlineStr">
        <is>
          <t>boundary</t>
        </is>
      </c>
      <c r="J13" s="2" t="inlineStr">
        <is>
          <t>boundary_mismatch</t>
        </is>
      </c>
      <c r="K13" s="2" t="inlineStr">
        <is>
          <t>review</t>
        </is>
      </c>
      <c r="L13" s="3" t="inlineStr">
        <is>
          <t>inside Atmautluak; 43.97 km from own boundary</t>
        </is>
      </c>
      <c r="M13" s="2" t="inlineStr"/>
      <c r="N13" s="2" t="inlineStr"/>
      <c r="O13" s="4">
        <f>HYPERLINK("https://www.google.com/maps?q=60.85685837,-162.2765278","map")</f>
        <v/>
      </c>
      <c r="P13" s="5" t="inlineStr"/>
      <c r="Q13" s="5" t="inlineStr"/>
      <c r="R13" s="5" t="inlineStr"/>
      <c r="S13" s="5" t="inlineStr"/>
      <c r="T13" s="5" t="inlineStr"/>
    </row>
    <row r="14">
      <c r="A14" s="2" t="inlineStr">
        <is>
          <t>{996CA338-3112-43BA-964E-BAC877F58828}</t>
        </is>
      </c>
      <c r="B14" s="2" t="inlineStr">
        <is>
          <t>709</t>
        </is>
      </c>
      <c r="C14" s="2" t="inlineStr">
        <is>
          <t>Healy</t>
        </is>
      </c>
      <c r="D14" s="2" t="inlineStr">
        <is>
          <t>Alaska Power &amp; Telephone - Healy Lake Power Generation Plant</t>
        </is>
      </c>
      <c r="E14" s="2" t="inlineStr">
        <is>
          <t>64.000306</t>
        </is>
      </c>
      <c r="F14" s="2" t="inlineStr">
        <is>
          <t>-144.734444</t>
        </is>
      </c>
      <c r="G14" s="2" t="n"/>
      <c r="H14" s="2" t="inlineStr">
        <is>
          <t>14000</t>
        </is>
      </c>
      <c r="I14" s="2" t="inlineStr">
        <is>
          <t>boundary</t>
        </is>
      </c>
      <c r="J14" s="2" t="inlineStr">
        <is>
          <t>boundary_mismatch</t>
        </is>
      </c>
      <c r="K14" s="2" t="inlineStr">
        <is>
          <t>review</t>
        </is>
      </c>
      <c r="L14" s="3" t="inlineStr">
        <is>
          <t>inside Healy Lake; 170.17 km from own boundary</t>
        </is>
      </c>
      <c r="M14" s="2" t="inlineStr"/>
      <c r="N14" s="2" t="inlineStr"/>
      <c r="O14" s="4">
        <f>HYPERLINK("https://www.google.com/maps?q=64.000306,-144.734444","map")</f>
        <v/>
      </c>
      <c r="P14" s="5" t="inlineStr"/>
      <c r="Q14" s="5" t="inlineStr"/>
      <c r="R14" s="5" t="inlineStr"/>
      <c r="S14" s="5" t="inlineStr"/>
      <c r="T14" s="5" t="inlineStr"/>
    </row>
    <row r="15">
      <c r="A15" s="2" t="inlineStr">
        <is>
          <t>{A5398AFB-3BA8-40B9-8A1A-2886C4335A54}</t>
        </is>
      </c>
      <c r="B15" s="2" t="inlineStr">
        <is>
          <t>1488</t>
        </is>
      </c>
      <c r="C15" s="2" t="inlineStr">
        <is>
          <t>Selawik</t>
        </is>
      </c>
      <c r="D15" s="2" t="inlineStr">
        <is>
          <t>Alaska DOT&amp;PF</t>
        </is>
      </c>
      <c r="E15" s="2" t="inlineStr">
        <is>
          <t>65.98050676</t>
        </is>
      </c>
      <c r="F15" s="2" t="inlineStr">
        <is>
          <t>-161.1384531</t>
        </is>
      </c>
      <c r="G15" s="2" t="inlineStr">
        <is>
          <t>415</t>
        </is>
      </c>
      <c r="H15" s="2" t="inlineStr">
        <is>
          <t>2900</t>
        </is>
      </c>
      <c r="I15" s="2" t="inlineStr">
        <is>
          <t>boundary</t>
        </is>
      </c>
      <c r="J15" s="2" t="inlineStr">
        <is>
          <t>boundary_mismatch</t>
        </is>
      </c>
      <c r="K15" s="2" t="inlineStr">
        <is>
          <t>review</t>
        </is>
      </c>
      <c r="L15" s="3" t="inlineStr">
        <is>
          <t>inside Buckland; 83.79 km from own boundary</t>
        </is>
      </c>
      <c r="M15" s="2" t="inlineStr"/>
      <c r="N15" s="2" t="inlineStr"/>
      <c r="O15" s="4">
        <f>HYPERLINK("https://www.google.com/maps?q=65.98050676,-161.1384531","map")</f>
        <v/>
      </c>
      <c r="P15" s="5" t="inlineStr"/>
      <c r="Q15" s="5" t="inlineStr"/>
      <c r="R15" s="5" t="inlineStr"/>
      <c r="S15" s="5" t="inlineStr"/>
      <c r="T15" s="5" t="inlineStr"/>
    </row>
    <row r="16">
      <c r="A16" s="2" t="inlineStr">
        <is>
          <t>{AE061686-3F3E-4156-A901-5DDB6E3F0237}</t>
        </is>
      </c>
      <c r="B16" s="2" t="inlineStr">
        <is>
          <t>1179</t>
        </is>
      </c>
      <c r="C16" s="2" t="inlineStr">
        <is>
          <t>Nightmute</t>
        </is>
      </c>
      <c r="D16" s="2" t="inlineStr">
        <is>
          <t>Lower Kuskokwim School District</t>
        </is>
      </c>
      <c r="E16" s="2" t="inlineStr">
        <is>
          <t>60.85685837</t>
        </is>
      </c>
      <c r="F16" s="2" t="inlineStr">
        <is>
          <t>-162.2765278</t>
        </is>
      </c>
      <c r="G16" s="2" t="inlineStr">
        <is>
          <t>710</t>
        </is>
      </c>
      <c r="H16" s="2" t="inlineStr">
        <is>
          <t>24700</t>
        </is>
      </c>
      <c r="I16" s="2" t="inlineStr">
        <is>
          <t>boundary</t>
        </is>
      </c>
      <c r="J16" s="2" t="inlineStr">
        <is>
          <t>boundary_mismatch</t>
        </is>
      </c>
      <c r="K16" s="2" t="inlineStr">
        <is>
          <t>review</t>
        </is>
      </c>
      <c r="L16" s="3" t="inlineStr">
        <is>
          <t>inside Atmautluak; 133.32 km from own boundary</t>
        </is>
      </c>
      <c r="M16" s="2" t="inlineStr"/>
      <c r="N16" s="2" t="inlineStr"/>
      <c r="O16" s="4">
        <f>HYPERLINK("https://www.google.com/maps?q=60.85685837,-162.2765278","map")</f>
        <v/>
      </c>
      <c r="P16" s="5" t="inlineStr"/>
      <c r="Q16" s="5" t="inlineStr"/>
      <c r="R16" s="5" t="inlineStr"/>
      <c r="S16" s="5" t="inlineStr"/>
      <c r="T16" s="5" t="inlineStr"/>
    </row>
    <row r="17">
      <c r="A17" s="2" t="inlineStr">
        <is>
          <t>{BA4EE9C3-1152-401B-9F6A-8BEA6C9A7894}</t>
        </is>
      </c>
      <c r="B17" s="2" t="inlineStr">
        <is>
          <t>472</t>
        </is>
      </c>
      <c r="C17" s="2" t="inlineStr">
        <is>
          <t>Delta Junction</t>
        </is>
      </c>
      <c r="D17" s="2" t="inlineStr">
        <is>
          <t>State of Alaska Department of Fish and Game - Delta Junction</t>
        </is>
      </c>
      <c r="E17" s="2" t="inlineStr">
        <is>
          <t>63.909763</t>
        </is>
      </c>
      <c r="F17" s="2" t="inlineStr">
        <is>
          <t>-145.27708</t>
        </is>
      </c>
      <c r="G17" s="2" t="n"/>
      <c r="H17" s="2" t="inlineStr">
        <is>
          <t>1000</t>
        </is>
      </c>
      <c r="I17" s="2" t="inlineStr">
        <is>
          <t>boundary</t>
        </is>
      </c>
      <c r="J17" s="2" t="inlineStr">
        <is>
          <t>boundary_mismatch</t>
        </is>
      </c>
      <c r="K17" s="2" t="inlineStr">
        <is>
          <t>review</t>
        </is>
      </c>
      <c r="L17" s="3" t="inlineStr">
        <is>
          <t>inside Deltana; 22.36 km from own boundary</t>
        </is>
      </c>
      <c r="M17" s="2" t="inlineStr"/>
      <c r="N17" s="2" t="inlineStr"/>
      <c r="O17" s="4">
        <f>HYPERLINK("https://www.google.com/maps?q=63.909763,-145.27708","map")</f>
        <v/>
      </c>
      <c r="P17" s="5" t="inlineStr"/>
      <c r="Q17" s="5" t="inlineStr"/>
      <c r="R17" s="5" t="inlineStr"/>
      <c r="S17" s="5" t="inlineStr"/>
      <c r="T17" s="5" t="inlineStr"/>
    </row>
    <row r="18">
      <c r="A18" s="2" t="inlineStr">
        <is>
          <t>{C9AFF599-4CD8-41B4-97E2-04CEFD79683A}</t>
        </is>
      </c>
      <c r="B18" s="2" t="inlineStr">
        <is>
          <t>721</t>
        </is>
      </c>
      <c r="C18" s="2" t="inlineStr">
        <is>
          <t>Holy Cross</t>
        </is>
      </c>
      <c r="D18" s="2" t="inlineStr">
        <is>
          <t>Alaska Village Electric Cooperative (AVEC)</t>
        </is>
      </c>
      <c r="E18" s="2" t="inlineStr">
        <is>
          <t>67.08767141</t>
        </is>
      </c>
      <c r="F18" s="2" t="inlineStr">
        <is>
          <t>-157.8567222</t>
        </is>
      </c>
      <c r="G18" s="2" t="inlineStr">
        <is>
          <t>179</t>
        </is>
      </c>
      <c r="H18" s="2" t="inlineStr">
        <is>
          <t>74530</t>
        </is>
      </c>
      <c r="I18" s="2" t="inlineStr">
        <is>
          <t>boundary</t>
        </is>
      </c>
      <c r="J18" s="2" t="inlineStr">
        <is>
          <t>boundary_mismatch</t>
        </is>
      </c>
      <c r="K18" s="2" t="inlineStr">
        <is>
          <t>review</t>
        </is>
      </c>
      <c r="L18" s="3" t="inlineStr">
        <is>
          <t>inside Ambler; 549.44 km from own boundary</t>
        </is>
      </c>
      <c r="M18" s="2" t="inlineStr"/>
      <c r="N18" s="2" t="inlineStr"/>
      <c r="O18" s="4">
        <f>HYPERLINK("https://www.google.com/maps?q=67.08767141,-157.8567222","map")</f>
        <v/>
      </c>
      <c r="P18" s="5" t="inlineStr"/>
      <c r="Q18" s="5" t="inlineStr"/>
      <c r="R18" s="5" t="inlineStr"/>
      <c r="S18" s="5" t="inlineStr"/>
      <c r="T18" s="5" t="inlineStr"/>
    </row>
    <row r="19">
      <c r="A19" s="2" t="inlineStr">
        <is>
          <t>{C9E914FB-038D-497D-9C7E-7920E1429211}</t>
        </is>
      </c>
      <c r="B19" s="2" t="inlineStr">
        <is>
          <t>522</t>
        </is>
      </c>
      <c r="C19" s="2" t="inlineStr">
        <is>
          <t>Eielson Afb</t>
        </is>
      </c>
      <c r="D19" s="2" t="inlineStr">
        <is>
          <t>Eielson Airforce Base - Oklahoma Range</t>
        </is>
      </c>
      <c r="E19" s="2" t="inlineStr">
        <is>
          <t>63.83333</t>
        </is>
      </c>
      <c r="F19" s="2" t="inlineStr">
        <is>
          <t>-145.82217</t>
        </is>
      </c>
      <c r="G19" s="2" t="n"/>
      <c r="H19" s="2" t="inlineStr">
        <is>
          <t>32075</t>
        </is>
      </c>
      <c r="I19" s="2" t="inlineStr">
        <is>
          <t>boundary</t>
        </is>
      </c>
      <c r="J19" s="2" t="inlineStr">
        <is>
          <t>boundary_mismatch</t>
        </is>
      </c>
      <c r="K19" s="2" t="inlineStr">
        <is>
          <t>review</t>
        </is>
      </c>
      <c r="L19" s="3" t="inlineStr">
        <is>
          <t>inside Fort Greely; 104.28 km from own boundary</t>
        </is>
      </c>
      <c r="M19" s="2" t="inlineStr"/>
      <c r="N19" s="2" t="inlineStr"/>
      <c r="O19" s="4">
        <f>HYPERLINK("https://www.google.com/maps?q=63.83333,-145.82217","map")</f>
        <v/>
      </c>
      <c r="P19" s="5" t="inlineStr"/>
      <c r="Q19" s="5" t="inlineStr"/>
      <c r="R19" s="5" t="inlineStr"/>
      <c r="S19" s="5" t="inlineStr"/>
      <c r="T19" s="5" t="inlineStr"/>
    </row>
    <row r="20">
      <c r="A20" s="2" t="inlineStr">
        <is>
          <t>{D32639C4-3E15-4313-904F-B53FE9C4C207}</t>
        </is>
      </c>
      <c r="B20" s="2" t="inlineStr">
        <is>
          <t>1666</t>
        </is>
      </c>
      <c r="C20" s="2" t="inlineStr">
        <is>
          <t>Tununak</t>
        </is>
      </c>
      <c r="D20" s="2" t="inlineStr">
        <is>
          <t>Lower Kuskokwim School District</t>
        </is>
      </c>
      <c r="E20" s="2" t="inlineStr">
        <is>
          <t>60.85685837</t>
        </is>
      </c>
      <c r="F20" s="2" t="inlineStr">
        <is>
          <t>-162.2765278</t>
        </is>
      </c>
      <c r="G20" s="2" t="inlineStr">
        <is>
          <t>710</t>
        </is>
      </c>
      <c r="H20" s="2" t="inlineStr">
        <is>
          <t>24700</t>
        </is>
      </c>
      <c r="I20" s="2" t="inlineStr">
        <is>
          <t>boundary</t>
        </is>
      </c>
      <c r="J20" s="2" t="inlineStr">
        <is>
          <t>boundary_mismatch</t>
        </is>
      </c>
      <c r="K20" s="2" t="inlineStr">
        <is>
          <t>review</t>
        </is>
      </c>
      <c r="L20" s="3" t="inlineStr">
        <is>
          <t>inside Atmautluak; 150.17 km from own boundary</t>
        </is>
      </c>
      <c r="M20" s="2" t="inlineStr"/>
      <c r="N20" s="2" t="inlineStr"/>
      <c r="O20" s="4">
        <f>HYPERLINK("https://www.google.com/maps?q=60.85685837,-162.2765278","map")</f>
        <v/>
      </c>
      <c r="P20" s="5" t="inlineStr"/>
      <c r="Q20" s="5" t="inlineStr"/>
      <c r="R20" s="5" t="inlineStr"/>
      <c r="S20" s="5" t="inlineStr"/>
      <c r="T20" s="5" t="inlineStr"/>
    </row>
    <row r="21">
      <c r="A21" s="2" t="inlineStr">
        <is>
          <t>{E2EBBB67-58E8-4EED-B69B-A03B77169EB6}</t>
        </is>
      </c>
      <c r="B21" s="2" t="inlineStr">
        <is>
          <t>1746</t>
        </is>
      </c>
      <c r="C21" s="2" t="inlineStr">
        <is>
          <t>Wasilla</t>
        </is>
      </c>
      <c r="D21" s="2" t="inlineStr">
        <is>
          <t>State of Alaska Department of Corrections - Goose Creek Corectional Center</t>
        </is>
      </c>
      <c r="E21" s="2" t="inlineStr">
        <is>
          <t>61.360181</t>
        </is>
      </c>
      <c r="F21" s="2" t="inlineStr">
        <is>
          <t>-150.012503</t>
        </is>
      </c>
      <c r="G21" s="2" t="n"/>
      <c r="H21" s="2" t="inlineStr">
        <is>
          <t>77000</t>
        </is>
      </c>
      <c r="I21" s="2" t="inlineStr">
        <is>
          <t>boundary</t>
        </is>
      </c>
      <c r="J21" s="2" t="inlineStr">
        <is>
          <t>boundary_mismatch</t>
        </is>
      </c>
      <c r="K21" s="2" t="inlineStr">
        <is>
          <t>review</t>
        </is>
      </c>
      <c r="L21" s="3" t="inlineStr">
        <is>
          <t>inside Point MacKenzie; 32.93 km from own boundary</t>
        </is>
      </c>
      <c r="M21" s="2" t="inlineStr"/>
      <c r="N21" s="2" t="inlineStr"/>
      <c r="O21" s="4">
        <f>HYPERLINK("https://www.google.com/maps?q=61.360181,-150.012503","map")</f>
        <v/>
      </c>
      <c r="P21" s="5" t="inlineStr"/>
      <c r="Q21" s="5" t="inlineStr"/>
      <c r="R21" s="5" t="inlineStr"/>
      <c r="S21" s="5" t="inlineStr"/>
      <c r="T21" s="5" t="inlineStr"/>
    </row>
    <row r="22">
      <c r="A22" s="2" t="inlineStr">
        <is>
          <t>{E3EF8439-0613-41E1-B9C0-DC105BB3B3C0}</t>
        </is>
      </c>
      <c r="B22" s="2" t="inlineStr">
        <is>
          <t>931</t>
        </is>
      </c>
      <c r="C22" s="2" t="inlineStr">
        <is>
          <t>Kiana</t>
        </is>
      </c>
      <c r="D22" s="2" t="inlineStr">
        <is>
          <t>Alaska DOT&amp;PF</t>
        </is>
      </c>
      <c r="E22" s="2" t="inlineStr">
        <is>
          <t>65.98050676</t>
        </is>
      </c>
      <c r="F22" s="2" t="inlineStr">
        <is>
          <t>-161.1384531</t>
        </is>
      </c>
      <c r="G22" s="2" t="inlineStr">
        <is>
          <t>415</t>
        </is>
      </c>
      <c r="H22" s="2" t="inlineStr">
        <is>
          <t>2900</t>
        </is>
      </c>
      <c r="I22" s="2" t="inlineStr">
        <is>
          <t>boundary</t>
        </is>
      </c>
      <c r="J22" s="2" t="inlineStr">
        <is>
          <t>boundary_mismatch</t>
        </is>
      </c>
      <c r="K22" s="2" t="inlineStr">
        <is>
          <t>review</t>
        </is>
      </c>
      <c r="L22" s="3" t="inlineStr">
        <is>
          <t>inside Buckland; 114.18 km from own boundary</t>
        </is>
      </c>
      <c r="M22" s="2" t="inlineStr"/>
      <c r="N22" s="2" t="inlineStr"/>
      <c r="O22" s="4">
        <f>HYPERLINK("https://www.google.com/maps?q=65.98050676,-161.1384531","map")</f>
        <v/>
      </c>
      <c r="P22" s="5" t="inlineStr"/>
      <c r="Q22" s="5" t="inlineStr"/>
      <c r="R22" s="5" t="inlineStr"/>
      <c r="S22" s="5" t="inlineStr"/>
      <c r="T22" s="5" t="inlineStr"/>
    </row>
    <row r="23">
      <c r="A23" s="2" t="inlineStr">
        <is>
          <t>{E6AB9F80-923B-43FA-B7E0-74FB0874B59A}</t>
        </is>
      </c>
      <c r="B23" s="2" t="inlineStr">
        <is>
          <t>1295</t>
        </is>
      </c>
      <c r="C23" s="2" t="inlineStr">
        <is>
          <t>Palmer</t>
        </is>
      </c>
      <c r="D23" s="2" t="inlineStr">
        <is>
          <t>AT&amp;T - Palmer - Sheep Mountain</t>
        </is>
      </c>
      <c r="E23" s="2" t="inlineStr">
        <is>
          <t>61.788126</t>
        </is>
      </c>
      <c r="F23" s="2" t="inlineStr">
        <is>
          <t>-147.675583</t>
        </is>
      </c>
      <c r="G23" s="2" t="n"/>
      <c r="H23" s="2" t="inlineStr">
        <is>
          <t>3000</t>
        </is>
      </c>
      <c r="I23" s="2" t="inlineStr">
        <is>
          <t>boundary</t>
        </is>
      </c>
      <c r="J23" s="2" t="inlineStr">
        <is>
          <t>boundary_mismatch</t>
        </is>
      </c>
      <c r="K23" s="2" t="inlineStr">
        <is>
          <t>review</t>
        </is>
      </c>
      <c r="L23" s="3" t="inlineStr">
        <is>
          <t>inside Glacier View; 76.36 km from own boundary</t>
        </is>
      </c>
      <c r="M23" s="2" t="inlineStr"/>
      <c r="N23" s="2" t="inlineStr"/>
      <c r="O23" s="4">
        <f>HYPERLINK("https://www.google.com/maps?q=61.788126,-147.675583","map")</f>
        <v/>
      </c>
      <c r="P23" s="5" t="inlineStr"/>
      <c r="Q23" s="5" t="inlineStr"/>
      <c r="R23" s="5" t="inlineStr"/>
      <c r="S23" s="5" t="inlineStr"/>
      <c r="T23" s="5" t="inlineStr"/>
    </row>
    <row r="24">
      <c r="A24" s="2" t="inlineStr">
        <is>
          <t>{E7B9AC7C-E3C6-4313-A350-5414BFE26A53}</t>
        </is>
      </c>
      <c r="B24" s="2" t="inlineStr">
        <is>
          <t>1197</t>
        </is>
      </c>
      <c r="C24" s="2" t="inlineStr">
        <is>
          <t>Noatak</t>
        </is>
      </c>
      <c r="D24" s="2" t="inlineStr">
        <is>
          <t>AVEC Power Plant</t>
        </is>
      </c>
      <c r="E24" s="2" t="inlineStr">
        <is>
          <t>61.87844406</t>
        </is>
      </c>
      <c r="F24" s="2" t="inlineStr">
        <is>
          <t>-162.084732</t>
        </is>
      </c>
      <c r="G24" s="2" t="inlineStr">
        <is>
          <t>427</t>
        </is>
      </c>
      <c r="H24" s="2" t="inlineStr">
        <is>
          <t>95300</t>
        </is>
      </c>
      <c r="I24" s="2" t="inlineStr">
        <is>
          <t>boundary</t>
        </is>
      </c>
      <c r="J24" s="2" t="inlineStr">
        <is>
          <t>boundary_mismatch</t>
        </is>
      </c>
      <c r="K24" s="2" t="inlineStr">
        <is>
          <t>review</t>
        </is>
      </c>
      <c r="L24" s="3" t="inlineStr">
        <is>
          <t>inside Marshall; 630.48 km from own boundary</t>
        </is>
      </c>
      <c r="M24" s="2" t="inlineStr"/>
      <c r="N24" s="2" t="inlineStr"/>
      <c r="O24" s="4">
        <f>HYPERLINK("https://www.google.com/maps?q=61.87844406,-162.084732","map")</f>
        <v/>
      </c>
      <c r="P24" s="5" t="inlineStr"/>
      <c r="Q24" s="5" t="inlineStr"/>
      <c r="R24" s="5" t="inlineStr"/>
      <c r="S24" s="5" t="inlineStr"/>
      <c r="T24" s="5" t="inlineStr"/>
    </row>
    <row r="25">
      <c r="A25" s="2" t="inlineStr">
        <is>
          <t>{EF7B6BA1-2FF6-404A-9A5F-01A83B09D969}</t>
        </is>
      </c>
      <c r="B25" s="2" t="inlineStr">
        <is>
          <t>1456</t>
        </is>
      </c>
      <c r="C25" s="2" t="inlineStr">
        <is>
          <t>Sand Point</t>
        </is>
      </c>
      <c r="D25" s="2" t="inlineStr">
        <is>
          <t>AK DOT&amp;PF Sand Point</t>
        </is>
      </c>
      <c r="E25" s="2" t="inlineStr">
        <is>
          <t>53.896944</t>
        </is>
      </c>
      <c r="F25" s="2" t="inlineStr">
        <is>
          <t>-166.54</t>
        </is>
      </c>
      <c r="G25" s="2" t="n"/>
      <c r="H25" s="2" t="inlineStr">
        <is>
          <t>2000</t>
        </is>
      </c>
      <c r="I25" s="2" t="inlineStr">
        <is>
          <t>boundary</t>
        </is>
      </c>
      <c r="J25" s="2" t="inlineStr">
        <is>
          <t>boundary_mismatch</t>
        </is>
      </c>
      <c r="K25" s="2" t="inlineStr">
        <is>
          <t>review</t>
        </is>
      </c>
      <c r="L25" s="3" t="inlineStr">
        <is>
          <t>inside Unalaska; 415.34 km from own boundary</t>
        </is>
      </c>
      <c r="M25" s="2" t="inlineStr"/>
      <c r="N25" s="2" t="inlineStr"/>
      <c r="O25" s="4">
        <f>HYPERLINK("https://www.google.com/maps?q=53.896944,-166.54","map")</f>
        <v/>
      </c>
      <c r="P25" s="5" t="inlineStr"/>
      <c r="Q25" s="5" t="inlineStr"/>
      <c r="R25" s="5" t="inlineStr"/>
      <c r="S25" s="5" t="inlineStr"/>
      <c r="T25" s="5" t="inlineStr"/>
    </row>
    <row r="26">
      <c r="A26" s="2" t="inlineStr">
        <is>
          <t>{F0FFCC8F-A5B7-4ADC-8C28-C7FC319FCDDB}</t>
        </is>
      </c>
      <c r="B26" s="2" t="inlineStr">
        <is>
          <t>656</t>
        </is>
      </c>
      <c r="C26" s="2" t="inlineStr">
        <is>
          <t>Galena</t>
        </is>
      </c>
      <c r="D26" s="2" t="inlineStr">
        <is>
          <t>Crowley Marine Services</t>
        </is>
      </c>
      <c r="E26" s="2" t="inlineStr">
        <is>
          <t>66.564199</t>
        </is>
      </c>
      <c r="F26" s="2" t="inlineStr">
        <is>
          <t>-145.2576394</t>
        </is>
      </c>
      <c r="G26" s="2" t="n"/>
      <c r="H26" s="2" t="n"/>
      <c r="I26" s="2" t="inlineStr">
        <is>
          <t>boundary</t>
        </is>
      </c>
      <c r="J26" s="2" t="inlineStr">
        <is>
          <t>boundary_mismatch</t>
        </is>
      </c>
      <c r="K26" s="2" t="inlineStr">
        <is>
          <t>review</t>
        </is>
      </c>
      <c r="L26" s="3" t="inlineStr">
        <is>
          <t>inside Fort Yukon; 564.71 km from own boundary</t>
        </is>
      </c>
      <c r="M26" s="2" t="inlineStr"/>
      <c r="N26" s="2" t="inlineStr"/>
      <c r="O26" s="4">
        <f>HYPERLINK("https://www.google.com/maps?q=66.564199,-145.2576394","map")</f>
        <v/>
      </c>
      <c r="P26" s="5" t="inlineStr"/>
      <c r="Q26" s="5" t="inlineStr"/>
      <c r="R26" s="5" t="inlineStr"/>
      <c r="S26" s="5" t="inlineStr"/>
      <c r="T26" s="5" t="inlineStr"/>
    </row>
    <row r="27">
      <c r="A27" s="2" t="inlineStr">
        <is>
          <t>{509CF7C1-AE7E-4289-8EFE-3298B15AD90D}</t>
        </is>
      </c>
      <c r="B27" s="2" t="inlineStr">
        <is>
          <t>1742</t>
        </is>
      </c>
      <c r="C27" s="2" t="inlineStr">
        <is>
          <t>Wales</t>
        </is>
      </c>
      <c r="D27" s="2" t="inlineStr">
        <is>
          <t>Alaska Village Electric Cooperative (AVEC)</t>
        </is>
      </c>
      <c r="E27" s="2" t="inlineStr">
        <is>
          <t>67.08767141</t>
        </is>
      </c>
      <c r="F27" s="2" t="inlineStr">
        <is>
          <t>-157.8567222</t>
        </is>
      </c>
      <c r="G27" s="2" t="inlineStr">
        <is>
          <t>179</t>
        </is>
      </c>
      <c r="H27" s="2" t="inlineStr">
        <is>
          <t>74530</t>
        </is>
      </c>
      <c r="I27" s="2" t="inlineStr">
        <is>
          <t>structural</t>
        </is>
      </c>
      <c r="J27" s="2" t="inlineStr">
        <is>
          <t>shared_farm_id</t>
        </is>
      </c>
      <c r="K27" s="2" t="inlineStr">
        <is>
          <t>high</t>
        </is>
      </c>
      <c r="L27" s="3" t="inlineStr">
        <is>
          <t>farm 179 sits in AMBLER but this record is labelled Wales; position + total_capacity are the farm's, not Wales's. NO record labelled AMBLER: consider relabelling one row to keep the farm</t>
        </is>
      </c>
      <c r="M27" s="2" t="inlineStr"/>
      <c r="N27" s="2" t="inlineStr">
        <is>
          <t>farm:179</t>
        </is>
      </c>
      <c r="O27" s="4">
        <f>HYPERLINK("https://www.google.com/maps?q=67.08767141,-157.8567222","map")</f>
        <v/>
      </c>
      <c r="P27" s="5" t="inlineStr"/>
      <c r="Q27" s="5" t="inlineStr"/>
      <c r="R27" s="5" t="inlineStr"/>
      <c r="S27" s="5" t="inlineStr"/>
      <c r="T27" s="5" t="inlineStr"/>
    </row>
    <row r="28">
      <c r="A28" s="2" t="inlineStr">
        <is>
          <t>{C9AFF599-4CD8-41B4-97E2-04CEFD79683A}</t>
        </is>
      </c>
      <c r="B28" s="2" t="inlineStr">
        <is>
          <t>721</t>
        </is>
      </c>
      <c r="C28" s="2" t="inlineStr">
        <is>
          <t>Holy Cross</t>
        </is>
      </c>
      <c r="D28" s="2" t="inlineStr">
        <is>
          <t>Alaska Village Electric Cooperative (AVEC)</t>
        </is>
      </c>
      <c r="E28" s="2" t="inlineStr">
        <is>
          <t>67.08767141</t>
        </is>
      </c>
      <c r="F28" s="2" t="inlineStr">
        <is>
          <t>-157.8567222</t>
        </is>
      </c>
      <c r="G28" s="2" t="inlineStr">
        <is>
          <t>179</t>
        </is>
      </c>
      <c r="H28" s="2" t="inlineStr">
        <is>
          <t>74530</t>
        </is>
      </c>
      <c r="I28" s="2" t="inlineStr">
        <is>
          <t>structural</t>
        </is>
      </c>
      <c r="J28" s="2" t="inlineStr">
        <is>
          <t>shared_farm_id</t>
        </is>
      </c>
      <c r="K28" s="2" t="inlineStr">
        <is>
          <t>high</t>
        </is>
      </c>
      <c r="L28" s="3" t="inlineStr">
        <is>
          <t>farm 179 sits in AMBLER but this record is labelled Holy Cross; position + total_capacity are the farm's, not Holy Cross's. NO record labelled AMBLER: consider relabelling one row to keep the farm</t>
        </is>
      </c>
      <c r="M28" s="2" t="inlineStr"/>
      <c r="N28" s="2" t="inlineStr">
        <is>
          <t>farm:179</t>
        </is>
      </c>
      <c r="O28" s="4">
        <f>HYPERLINK("https://www.google.com/maps?q=67.08767141,-157.8567222","map")</f>
        <v/>
      </c>
      <c r="P28" s="5" t="inlineStr"/>
      <c r="Q28" s="5" t="inlineStr"/>
      <c r="R28" s="5" t="inlineStr"/>
      <c r="S28" s="5" t="inlineStr"/>
      <c r="T28" s="5" t="inlineStr"/>
    </row>
    <row r="29">
      <c r="A29" s="2" t="inlineStr">
        <is>
          <t>{A5398AFB-3BA8-40B9-8A1A-2886C4335A54}</t>
        </is>
      </c>
      <c r="B29" s="2" t="inlineStr">
        <is>
          <t>1488</t>
        </is>
      </c>
      <c r="C29" s="2" t="inlineStr">
        <is>
          <t>Selawik</t>
        </is>
      </c>
      <c r="D29" s="2" t="inlineStr">
        <is>
          <t>Alaska DOT&amp;PF</t>
        </is>
      </c>
      <c r="E29" s="2" t="inlineStr">
        <is>
          <t>65.98050676</t>
        </is>
      </c>
      <c r="F29" s="2" t="inlineStr">
        <is>
          <t>-161.1384531</t>
        </is>
      </c>
      <c r="G29" s="2" t="inlineStr">
        <is>
          <t>415</t>
        </is>
      </c>
      <c r="H29" s="2" t="inlineStr">
        <is>
          <t>2900</t>
        </is>
      </c>
      <c r="I29" s="2" t="inlineStr">
        <is>
          <t>structural</t>
        </is>
      </c>
      <c r="J29" s="2" t="inlineStr">
        <is>
          <t>shared_farm_id</t>
        </is>
      </c>
      <c r="K29" s="2" t="inlineStr">
        <is>
          <t>high</t>
        </is>
      </c>
      <c r="L29" s="3" t="inlineStr">
        <is>
          <t>farm 415 sits in BUCKLAND but this record is labelled Selawik; position + total_capacity are the farm's, not Selawik's. NO record labelled BUCKLAND: consider relabelling one row to keep the farm</t>
        </is>
      </c>
      <c r="M29" s="2" t="inlineStr"/>
      <c r="N29" s="2" t="inlineStr">
        <is>
          <t>farm:415</t>
        </is>
      </c>
      <c r="O29" s="4">
        <f>HYPERLINK("https://www.google.com/maps?q=65.98050676,-161.1384531","map")</f>
        <v/>
      </c>
      <c r="P29" s="5" t="inlineStr"/>
      <c r="Q29" s="5" t="inlineStr"/>
      <c r="R29" s="5" t="inlineStr"/>
      <c r="S29" s="5" t="inlineStr"/>
      <c r="T29" s="5" t="inlineStr"/>
    </row>
    <row r="30">
      <c r="A30" s="2" t="inlineStr">
        <is>
          <t>{E3EF8439-0613-41E1-B9C0-DC105BB3B3C0}</t>
        </is>
      </c>
      <c r="B30" s="2" t="inlineStr">
        <is>
          <t>931</t>
        </is>
      </c>
      <c r="C30" s="2" t="inlineStr">
        <is>
          <t>Kiana</t>
        </is>
      </c>
      <c r="D30" s="2" t="inlineStr">
        <is>
          <t>Alaska DOT&amp;PF</t>
        </is>
      </c>
      <c r="E30" s="2" t="inlineStr">
        <is>
          <t>65.98050676</t>
        </is>
      </c>
      <c r="F30" s="2" t="inlineStr">
        <is>
          <t>-161.1384531</t>
        </is>
      </c>
      <c r="G30" s="2" t="inlineStr">
        <is>
          <t>415</t>
        </is>
      </c>
      <c r="H30" s="2" t="inlineStr">
        <is>
          <t>2900</t>
        </is>
      </c>
      <c r="I30" s="2" t="inlineStr">
        <is>
          <t>structural</t>
        </is>
      </c>
      <c r="J30" s="2" t="inlineStr">
        <is>
          <t>shared_farm_id</t>
        </is>
      </c>
      <c r="K30" s="2" t="inlineStr">
        <is>
          <t>high</t>
        </is>
      </c>
      <c r="L30" s="3" t="inlineStr">
        <is>
          <t>farm 415 sits in BUCKLAND but this record is labelled Kiana; position + total_capacity are the farm's, not Kiana's. NO record labelled BUCKLAND: consider relabelling one row to keep the farm</t>
        </is>
      </c>
      <c r="M30" s="2" t="inlineStr"/>
      <c r="N30" s="2" t="inlineStr">
        <is>
          <t>farm:415</t>
        </is>
      </c>
      <c r="O30" s="4">
        <f>HYPERLINK("https://www.google.com/maps?q=65.98050676,-161.1384531","map")</f>
        <v/>
      </c>
      <c r="P30" s="5" t="inlineStr"/>
      <c r="Q30" s="5" t="inlineStr"/>
      <c r="R30" s="5" t="inlineStr"/>
      <c r="S30" s="5" t="inlineStr"/>
      <c r="T30" s="5" t="inlineStr"/>
    </row>
    <row r="31">
      <c r="A31" s="2" t="inlineStr">
        <is>
          <t>{67812973-1F5E-4F2F-9E8E-A8FEDA823FAF}</t>
        </is>
      </c>
      <c r="B31" s="2" t="inlineStr">
        <is>
          <t>1619</t>
        </is>
      </c>
      <c r="C31" s="2" t="inlineStr">
        <is>
          <t>Teller</t>
        </is>
      </c>
      <c r="D31" s="2" t="inlineStr">
        <is>
          <t>Bering Straits School District</t>
        </is>
      </c>
      <c r="E31" s="2" t="inlineStr">
        <is>
          <t>65.33289523</t>
        </is>
      </c>
      <c r="F31" s="2" t="inlineStr">
        <is>
          <t>-166.4864243</t>
        </is>
      </c>
      <c r="G31" s="2" t="inlineStr">
        <is>
          <t>694</t>
        </is>
      </c>
      <c r="H31" s="2" t="inlineStr">
        <is>
          <t>52000</t>
        </is>
      </c>
      <c r="I31" s="2" t="inlineStr">
        <is>
          <t>structural</t>
        </is>
      </c>
      <c r="J31" s="2" t="inlineStr">
        <is>
          <t>shared_farm_id</t>
        </is>
      </c>
      <c r="K31" s="2" t="inlineStr">
        <is>
          <t>high</t>
        </is>
      </c>
      <c r="L31" s="3" t="inlineStr">
        <is>
          <t>farm 694 sits in BREVIG MISSION but this record is labelled Teller; position + total_capacity are the farm's, not Teller's. NO record labelled BREVIG MISSION: consider relabelling one row to keep the farm</t>
        </is>
      </c>
      <c r="M31" s="2" t="inlineStr"/>
      <c r="N31" s="2" t="inlineStr">
        <is>
          <t>farm:694</t>
        </is>
      </c>
      <c r="O31" s="4">
        <f>HYPERLINK("https://www.google.com/maps?q=65.33289523,-166.4864243","map")</f>
        <v/>
      </c>
      <c r="P31" s="5" t="inlineStr"/>
      <c r="Q31" s="5" t="inlineStr"/>
      <c r="R31" s="5" t="inlineStr"/>
      <c r="S31" s="5" t="inlineStr"/>
      <c r="T31" s="5" t="inlineStr"/>
    </row>
    <row r="32">
      <c r="A32" s="2" t="inlineStr">
        <is>
          <t>{7A206A94-00D4-4121-BA0A-35593A0FADDC}</t>
        </is>
      </c>
      <c r="B32" s="2" t="inlineStr">
        <is>
          <t>1441</t>
        </is>
      </c>
      <c r="C32" s="2" t="inlineStr">
        <is>
          <t>Saint Michael</t>
        </is>
      </c>
      <c r="D32" s="2" t="inlineStr">
        <is>
          <t>Bering Straits School District</t>
        </is>
      </c>
      <c r="E32" s="2" t="inlineStr">
        <is>
          <t>65.33289523</t>
        </is>
      </c>
      <c r="F32" s="2" t="inlineStr">
        <is>
          <t>-166.4864243</t>
        </is>
      </c>
      <c r="G32" s="2" t="inlineStr">
        <is>
          <t>694</t>
        </is>
      </c>
      <c r="H32" s="2" t="inlineStr">
        <is>
          <t>52000</t>
        </is>
      </c>
      <c r="I32" s="2" t="inlineStr">
        <is>
          <t>structural</t>
        </is>
      </c>
      <c r="J32" s="2" t="inlineStr">
        <is>
          <t>shared_farm_id</t>
        </is>
      </c>
      <c r="K32" s="2" t="inlineStr">
        <is>
          <t>high</t>
        </is>
      </c>
      <c r="L32" s="3" t="inlineStr">
        <is>
          <t>farm 694 sits in BREVIG MISSION but this record is labelled Saint Michael; position + total_capacity are the farm's, not Saint Michael's. NO record labelled BREVIG MISSION: consider relabelling one row to keep the farm</t>
        </is>
      </c>
      <c r="M32" s="2" t="inlineStr"/>
      <c r="N32" s="2" t="inlineStr">
        <is>
          <t>farm:694</t>
        </is>
      </c>
      <c r="O32" s="4">
        <f>HYPERLINK("https://www.google.com/maps?q=65.33289523,-166.4864243","map")</f>
        <v/>
      </c>
      <c r="P32" s="5" t="inlineStr"/>
      <c r="Q32" s="5" t="inlineStr"/>
      <c r="R32" s="5" t="inlineStr"/>
      <c r="S32" s="5" t="inlineStr"/>
      <c r="T32" s="5" t="inlineStr"/>
    </row>
    <row r="33">
      <c r="A33" s="2" t="inlineStr">
        <is>
          <t>{8970B1E0-DE4E-4A98-8A1B-5C858F18F05A}</t>
        </is>
      </c>
      <c r="B33" s="2" t="inlineStr">
        <is>
          <t>1467</t>
        </is>
      </c>
      <c r="C33" s="2" t="inlineStr">
        <is>
          <t>Savoonga</t>
        </is>
      </c>
      <c r="D33" s="2" t="inlineStr">
        <is>
          <t>Bering Straits School District</t>
        </is>
      </c>
      <c r="E33" s="2" t="inlineStr">
        <is>
          <t>65.33289523</t>
        </is>
      </c>
      <c r="F33" s="2" t="inlineStr">
        <is>
          <t>-166.4864243</t>
        </is>
      </c>
      <c r="G33" s="2" t="inlineStr">
        <is>
          <t>694</t>
        </is>
      </c>
      <c r="H33" s="2" t="inlineStr">
        <is>
          <t>52000</t>
        </is>
      </c>
      <c r="I33" s="2" t="inlineStr">
        <is>
          <t>structural</t>
        </is>
      </c>
      <c r="J33" s="2" t="inlineStr">
        <is>
          <t>shared_farm_id</t>
        </is>
      </c>
      <c r="K33" s="2" t="inlineStr">
        <is>
          <t>high</t>
        </is>
      </c>
      <c r="L33" s="3" t="inlineStr">
        <is>
          <t>farm 694 sits in BREVIG MISSION but this record is labelled Savoonga; position + total_capacity are the farm's, not Savoonga's. NO record labelled BREVIG MISSION: consider relabelling one row to keep the farm</t>
        </is>
      </c>
      <c r="M33" s="2" t="inlineStr"/>
      <c r="N33" s="2" t="inlineStr">
        <is>
          <t>farm:694</t>
        </is>
      </c>
      <c r="O33" s="4">
        <f>HYPERLINK("https://www.google.com/maps?q=65.33289523,-166.4864243","map")</f>
        <v/>
      </c>
      <c r="P33" s="5" t="inlineStr"/>
      <c r="Q33" s="5" t="inlineStr"/>
      <c r="R33" s="5" t="inlineStr"/>
      <c r="S33" s="5" t="inlineStr"/>
      <c r="T33" s="5" t="inlineStr"/>
    </row>
    <row r="34">
      <c r="A34" s="2" t="inlineStr">
        <is>
          <t>{5C01B036-AAC1-4876-BF5E-30428802A639}</t>
        </is>
      </c>
      <c r="B34" s="2" t="inlineStr">
        <is>
          <t>355</t>
        </is>
      </c>
      <c r="C34" s="2" t="inlineStr">
        <is>
          <t>Chefornak</t>
        </is>
      </c>
      <c r="D34" s="2" t="inlineStr">
        <is>
          <t>Lower Kuskokwim School District</t>
        </is>
      </c>
      <c r="E34" s="2" t="inlineStr">
        <is>
          <t>60.85685837</t>
        </is>
      </c>
      <c r="F34" s="2" t="inlineStr">
        <is>
          <t>-162.2765278</t>
        </is>
      </c>
      <c r="G34" s="2" t="inlineStr">
        <is>
          <t>710</t>
        </is>
      </c>
      <c r="H34" s="2" t="inlineStr">
        <is>
          <t>24700</t>
        </is>
      </c>
      <c r="I34" s="2" t="inlineStr">
        <is>
          <t>structural</t>
        </is>
      </c>
      <c r="J34" s="2" t="inlineStr">
        <is>
          <t>shared_farm_id</t>
        </is>
      </c>
      <c r="K34" s="2" t="inlineStr">
        <is>
          <t>high</t>
        </is>
      </c>
      <c r="L34" s="3" t="inlineStr">
        <is>
          <t>farm 710 sits in ATMAUTLUAK but this record is labelled Chefornak; position + total_capacity are the farm's, not Chefornak's. NO record labelled ATMAUTLUAK: consider relabelling one row to keep the farm</t>
        </is>
      </c>
      <c r="M34" s="2" t="inlineStr"/>
      <c r="N34" s="2" t="inlineStr">
        <is>
          <t>farm:710</t>
        </is>
      </c>
      <c r="O34" s="4">
        <f>HYPERLINK("https://www.google.com/maps?q=60.85685837,-162.2765278","map")</f>
        <v/>
      </c>
      <c r="P34" s="5" t="inlineStr"/>
      <c r="Q34" s="5" t="inlineStr"/>
      <c r="R34" s="5" t="inlineStr"/>
      <c r="S34" s="5" t="inlineStr"/>
      <c r="T34" s="5" t="inlineStr"/>
    </row>
    <row r="35">
      <c r="A35" s="2" t="inlineStr">
        <is>
          <t>{72E67206-F008-47E9-AE98-4C85EAD98765}</t>
        </is>
      </c>
      <c r="B35" s="2" t="inlineStr">
        <is>
          <t>950</t>
        </is>
      </c>
      <c r="C35" s="2" t="inlineStr">
        <is>
          <t>Kipnuk</t>
        </is>
      </c>
      <c r="D35" s="2" t="inlineStr">
        <is>
          <t>Lower Kuskokwim School District</t>
        </is>
      </c>
      <c r="E35" s="2" t="inlineStr">
        <is>
          <t>60.85685837</t>
        </is>
      </c>
      <c r="F35" s="2" t="inlineStr">
        <is>
          <t>-162.2765278</t>
        </is>
      </c>
      <c r="G35" s="2" t="inlineStr">
        <is>
          <t>710</t>
        </is>
      </c>
      <c r="H35" s="2" t="inlineStr">
        <is>
          <t>24700</t>
        </is>
      </c>
      <c r="I35" s="2" t="inlineStr">
        <is>
          <t>structural</t>
        </is>
      </c>
      <c r="J35" s="2" t="inlineStr">
        <is>
          <t>shared_farm_id</t>
        </is>
      </c>
      <c r="K35" s="2" t="inlineStr">
        <is>
          <t>high</t>
        </is>
      </c>
      <c r="L35" s="3" t="inlineStr">
        <is>
          <t>farm 710 sits in ATMAUTLUAK but this record is labelled Kipnuk; position + total_capacity are the farm's, not Kipnuk's. NO record labelled ATMAUTLUAK: consider relabelling one row to keep the farm</t>
        </is>
      </c>
      <c r="M35" s="2" t="inlineStr"/>
      <c r="N35" s="2" t="inlineStr">
        <is>
          <t>farm:710</t>
        </is>
      </c>
      <c r="O35" s="4">
        <f>HYPERLINK("https://www.google.com/maps?q=60.85685837,-162.2765278","map")</f>
        <v/>
      </c>
      <c r="P35" s="5" t="inlineStr"/>
      <c r="Q35" s="5" t="inlineStr"/>
      <c r="R35" s="5" t="inlineStr"/>
      <c r="S35" s="5" t="inlineStr"/>
      <c r="T35" s="5" t="inlineStr"/>
    </row>
    <row r="36">
      <c r="A36" s="2" t="inlineStr">
        <is>
          <t>{96705E92-63AB-41A0-B0E8-52639E90CEC8}</t>
        </is>
      </c>
      <c r="B36" s="2" t="inlineStr">
        <is>
          <t>1664</t>
        </is>
      </c>
      <c r="C36" s="2" t="inlineStr">
        <is>
          <t>Tuntutuliak</t>
        </is>
      </c>
      <c r="D36" s="2" t="inlineStr">
        <is>
          <t>Lower Kuskokwim School District</t>
        </is>
      </c>
      <c r="E36" s="2" t="inlineStr">
        <is>
          <t>60.85685837</t>
        </is>
      </c>
      <c r="F36" s="2" t="inlineStr">
        <is>
          <t>-162.2765278</t>
        </is>
      </c>
      <c r="G36" s="2" t="inlineStr">
        <is>
          <t>710</t>
        </is>
      </c>
      <c r="H36" s="2" t="inlineStr">
        <is>
          <t>24700</t>
        </is>
      </c>
      <c r="I36" s="2" t="inlineStr">
        <is>
          <t>structural</t>
        </is>
      </c>
      <c r="J36" s="2" t="inlineStr">
        <is>
          <t>shared_farm_id</t>
        </is>
      </c>
      <c r="K36" s="2" t="inlineStr">
        <is>
          <t>high</t>
        </is>
      </c>
      <c r="L36" s="3" t="inlineStr">
        <is>
          <t>farm 710 sits in ATMAUTLUAK but this record is labelled Tuntutuliak; position + total_capacity are the farm's, not Tuntutuliak's. NO record labelled ATMAUTLUAK: consider relabelling one row to keep the farm</t>
        </is>
      </c>
      <c r="M36" s="2" t="inlineStr"/>
      <c r="N36" s="2" t="inlineStr">
        <is>
          <t>farm:710</t>
        </is>
      </c>
      <c r="O36" s="4">
        <f>HYPERLINK("https://www.google.com/maps?q=60.85685837,-162.2765278","map")</f>
        <v/>
      </c>
      <c r="P36" s="5" t="inlineStr"/>
      <c r="Q36" s="5" t="inlineStr"/>
      <c r="R36" s="5" t="inlineStr"/>
      <c r="S36" s="5" t="inlineStr"/>
      <c r="T36" s="5" t="inlineStr"/>
    </row>
    <row r="37">
      <c r="A37" s="2" t="inlineStr">
        <is>
          <t>{AE061686-3F3E-4156-A901-5DDB6E3F0237}</t>
        </is>
      </c>
      <c r="B37" s="2" t="inlineStr">
        <is>
          <t>1179</t>
        </is>
      </c>
      <c r="C37" s="2" t="inlineStr">
        <is>
          <t>Nightmute</t>
        </is>
      </c>
      <c r="D37" s="2" t="inlineStr">
        <is>
          <t>Lower Kuskokwim School District</t>
        </is>
      </c>
      <c r="E37" s="2" t="inlineStr">
        <is>
          <t>60.85685837</t>
        </is>
      </c>
      <c r="F37" s="2" t="inlineStr">
        <is>
          <t>-162.2765278</t>
        </is>
      </c>
      <c r="G37" s="2" t="inlineStr">
        <is>
          <t>710</t>
        </is>
      </c>
      <c r="H37" s="2" t="inlineStr">
        <is>
          <t>24700</t>
        </is>
      </c>
      <c r="I37" s="2" t="inlineStr">
        <is>
          <t>structural</t>
        </is>
      </c>
      <c r="J37" s="2" t="inlineStr">
        <is>
          <t>shared_farm_id</t>
        </is>
      </c>
      <c r="K37" s="2" t="inlineStr">
        <is>
          <t>high</t>
        </is>
      </c>
      <c r="L37" s="3" t="inlineStr">
        <is>
          <t>farm 710 sits in ATMAUTLUAK but this record is labelled Nightmute; position + total_capacity are the farm's, not Nightmute's. NO record labelled ATMAUTLUAK: consider relabelling one row to keep the farm</t>
        </is>
      </c>
      <c r="M37" s="2" t="inlineStr"/>
      <c r="N37" s="2" t="inlineStr">
        <is>
          <t>farm:710</t>
        </is>
      </c>
      <c r="O37" s="4">
        <f>HYPERLINK("https://www.google.com/maps?q=60.85685837,-162.2765278","map")</f>
        <v/>
      </c>
      <c r="P37" s="5" t="inlineStr"/>
      <c r="Q37" s="5" t="inlineStr"/>
      <c r="R37" s="5" t="inlineStr"/>
      <c r="S37" s="5" t="inlineStr"/>
      <c r="T37" s="5" t="inlineStr"/>
    </row>
    <row r="38">
      <c r="A38" s="2" t="inlineStr">
        <is>
          <t>{D32639C4-3E15-4313-904F-B53FE9C4C207}</t>
        </is>
      </c>
      <c r="B38" s="2" t="inlineStr">
        <is>
          <t>1666</t>
        </is>
      </c>
      <c r="C38" s="2" t="inlineStr">
        <is>
          <t>Tununak</t>
        </is>
      </c>
      <c r="D38" s="2" t="inlineStr">
        <is>
          <t>Lower Kuskokwim School District</t>
        </is>
      </c>
      <c r="E38" s="2" t="inlineStr">
        <is>
          <t>60.85685837</t>
        </is>
      </c>
      <c r="F38" s="2" t="inlineStr">
        <is>
          <t>-162.2765278</t>
        </is>
      </c>
      <c r="G38" s="2" t="inlineStr">
        <is>
          <t>710</t>
        </is>
      </c>
      <c r="H38" s="2" t="inlineStr">
        <is>
          <t>24700</t>
        </is>
      </c>
      <c r="I38" s="2" t="inlineStr">
        <is>
          <t>structural</t>
        </is>
      </c>
      <c r="J38" s="2" t="inlineStr">
        <is>
          <t>shared_farm_id</t>
        </is>
      </c>
      <c r="K38" s="2" t="inlineStr">
        <is>
          <t>high</t>
        </is>
      </c>
      <c r="L38" s="3" t="inlineStr">
        <is>
          <t>farm 710 sits in ATMAUTLUAK but this record is labelled Tununak; position + total_capacity are the farm's, not Tununak's. NO record labelled ATMAUTLUAK: consider relabelling one row to keep the farm</t>
        </is>
      </c>
      <c r="M38" s="2" t="inlineStr"/>
      <c r="N38" s="2" t="inlineStr">
        <is>
          <t>farm:710</t>
        </is>
      </c>
      <c r="O38" s="4">
        <f>HYPERLINK("https://www.google.com/maps?q=60.85685837,-162.2765278","map")</f>
        <v/>
      </c>
      <c r="P38" s="5" t="inlineStr"/>
      <c r="Q38" s="5" t="inlineStr"/>
      <c r="R38" s="5" t="inlineStr"/>
      <c r="S38" s="5" t="inlineStr"/>
      <c r="T38" s="5" t="inlineStr"/>
    </row>
    <row r="39">
      <c r="A39" s="2" t="inlineStr">
        <is>
          <t>{509CF7C1-AE7E-4289-8EFE-3298B15AD90D}</t>
        </is>
      </c>
      <c r="B39" s="2" t="inlineStr">
        <is>
          <t>1742</t>
        </is>
      </c>
      <c r="C39" s="2" t="inlineStr">
        <is>
          <t>Wales</t>
        </is>
      </c>
      <c r="D39" s="2" t="inlineStr">
        <is>
          <t>Alaska Village Electric Cooperative (AVEC)</t>
        </is>
      </c>
      <c r="E39" s="2" t="inlineStr">
        <is>
          <t>67.08767141</t>
        </is>
      </c>
      <c r="F39" s="2" t="inlineStr">
        <is>
          <t>-157.8567222</t>
        </is>
      </c>
      <c r="G39" s="2" t="inlineStr">
        <is>
          <t>179</t>
        </is>
      </c>
      <c r="H39" s="2" t="inlineStr">
        <is>
          <t>74530</t>
        </is>
      </c>
      <c r="I39" s="2" t="inlineStr">
        <is>
          <t>structural</t>
        </is>
      </c>
      <c r="J39" s="2" t="inlineStr">
        <is>
          <t>shared_point_labels</t>
        </is>
      </c>
      <c r="K39" s="2" t="inlineStr">
        <is>
          <t>high</t>
        </is>
      </c>
      <c r="L39" s="3" t="inlineStr">
        <is>
          <t>same point as records labelled HOLY CROSS</t>
        </is>
      </c>
      <c r="M39" s="2" t="inlineStr"/>
      <c r="N39" s="2" t="inlineStr">
        <is>
          <t>point:-168360:1908210</t>
        </is>
      </c>
      <c r="O39" s="4">
        <f>HYPERLINK("https://www.google.com/maps?q=67.08767141,-157.8567222","map")</f>
        <v/>
      </c>
      <c r="P39" s="5" t="inlineStr"/>
      <c r="Q39" s="5" t="inlineStr"/>
      <c r="R39" s="5" t="inlineStr"/>
      <c r="S39" s="5" t="inlineStr"/>
      <c r="T39" s="5" t="inlineStr"/>
    </row>
    <row r="40">
      <c r="A40" s="2" t="inlineStr">
        <is>
          <t>{C9AFF599-4CD8-41B4-97E2-04CEFD79683A}</t>
        </is>
      </c>
      <c r="B40" s="2" t="inlineStr">
        <is>
          <t>721</t>
        </is>
      </c>
      <c r="C40" s="2" t="inlineStr">
        <is>
          <t>Holy Cross</t>
        </is>
      </c>
      <c r="D40" s="2" t="inlineStr">
        <is>
          <t>Alaska Village Electric Cooperative (AVEC)</t>
        </is>
      </c>
      <c r="E40" s="2" t="inlineStr">
        <is>
          <t>67.08767141</t>
        </is>
      </c>
      <c r="F40" s="2" t="inlineStr">
        <is>
          <t>-157.8567222</t>
        </is>
      </c>
      <c r="G40" s="2" t="inlineStr">
        <is>
          <t>179</t>
        </is>
      </c>
      <c r="H40" s="2" t="inlineStr">
        <is>
          <t>74530</t>
        </is>
      </c>
      <c r="I40" s="2" t="inlineStr">
        <is>
          <t>structural</t>
        </is>
      </c>
      <c r="J40" s="2" t="inlineStr">
        <is>
          <t>shared_point_labels</t>
        </is>
      </c>
      <c r="K40" s="2" t="inlineStr">
        <is>
          <t>high</t>
        </is>
      </c>
      <c r="L40" s="3" t="inlineStr">
        <is>
          <t>same point as records labelled WALES</t>
        </is>
      </c>
      <c r="M40" s="2" t="inlineStr"/>
      <c r="N40" s="2" t="inlineStr">
        <is>
          <t>point:-168360:1908210</t>
        </is>
      </c>
      <c r="O40" s="4">
        <f>HYPERLINK("https://www.google.com/maps?q=67.08767141,-157.8567222","map")</f>
        <v/>
      </c>
      <c r="P40" s="5" t="inlineStr"/>
      <c r="Q40" s="5" t="inlineStr"/>
      <c r="R40" s="5" t="inlineStr"/>
      <c r="S40" s="5" t="inlineStr"/>
      <c r="T40" s="5" t="inlineStr"/>
    </row>
    <row r="41">
      <c r="A41" s="2" t="inlineStr">
        <is>
          <t>{A5398AFB-3BA8-40B9-8A1A-2886C4335A54}</t>
        </is>
      </c>
      <c r="B41" s="2" t="inlineStr">
        <is>
          <t>1488</t>
        </is>
      </c>
      <c r="C41" s="2" t="inlineStr">
        <is>
          <t>Selawik</t>
        </is>
      </c>
      <c r="D41" s="2" t="inlineStr">
        <is>
          <t>Alaska DOT&amp;PF</t>
        </is>
      </c>
      <c r="E41" s="2" t="inlineStr">
        <is>
          <t>65.98050676</t>
        </is>
      </c>
      <c r="F41" s="2" t="inlineStr">
        <is>
          <t>-161.1384531</t>
        </is>
      </c>
      <c r="G41" s="2" t="inlineStr">
        <is>
          <t>415</t>
        </is>
      </c>
      <c r="H41" s="2" t="inlineStr">
        <is>
          <t>2900</t>
        </is>
      </c>
      <c r="I41" s="2" t="inlineStr">
        <is>
          <t>structural</t>
        </is>
      </c>
      <c r="J41" s="2" t="inlineStr">
        <is>
          <t>shared_point_labels</t>
        </is>
      </c>
      <c r="K41" s="2" t="inlineStr">
        <is>
          <t>high</t>
        </is>
      </c>
      <c r="L41" s="3" t="inlineStr">
        <is>
          <t>same point as records labelled KIANA</t>
        </is>
      </c>
      <c r="M41" s="2" t="inlineStr"/>
      <c r="N41" s="2" t="inlineStr">
        <is>
          <t>point:-324395:1797727</t>
        </is>
      </c>
      <c r="O41" s="4">
        <f>HYPERLINK("https://www.google.com/maps?q=65.98050676,-161.1384531","map")</f>
        <v/>
      </c>
      <c r="P41" s="5" t="inlineStr"/>
      <c r="Q41" s="5" t="inlineStr"/>
      <c r="R41" s="5" t="inlineStr"/>
      <c r="S41" s="5" t="inlineStr"/>
      <c r="T41" s="5" t="inlineStr"/>
    </row>
    <row r="42">
      <c r="A42" s="2" t="inlineStr">
        <is>
          <t>{E3EF8439-0613-41E1-B9C0-DC105BB3B3C0}</t>
        </is>
      </c>
      <c r="B42" s="2" t="inlineStr">
        <is>
          <t>931</t>
        </is>
      </c>
      <c r="C42" s="2" t="inlineStr">
        <is>
          <t>Kiana</t>
        </is>
      </c>
      <c r="D42" s="2" t="inlineStr">
        <is>
          <t>Alaska DOT&amp;PF</t>
        </is>
      </c>
      <c r="E42" s="2" t="inlineStr">
        <is>
          <t>65.98050676</t>
        </is>
      </c>
      <c r="F42" s="2" t="inlineStr">
        <is>
          <t>-161.1384531</t>
        </is>
      </c>
      <c r="G42" s="2" t="inlineStr">
        <is>
          <t>415</t>
        </is>
      </c>
      <c r="H42" s="2" t="inlineStr">
        <is>
          <t>2900</t>
        </is>
      </c>
      <c r="I42" s="2" t="inlineStr">
        <is>
          <t>structural</t>
        </is>
      </c>
      <c r="J42" s="2" t="inlineStr">
        <is>
          <t>shared_point_labels</t>
        </is>
      </c>
      <c r="K42" s="2" t="inlineStr">
        <is>
          <t>high</t>
        </is>
      </c>
      <c r="L42" s="3" t="inlineStr">
        <is>
          <t>same point as records labelled SELAWIK</t>
        </is>
      </c>
      <c r="M42" s="2" t="inlineStr"/>
      <c r="N42" s="2" t="inlineStr">
        <is>
          <t>point:-324395:1797727</t>
        </is>
      </c>
      <c r="O42" s="4">
        <f>HYPERLINK("https://www.google.com/maps?q=65.98050676,-161.1384531","map")</f>
        <v/>
      </c>
      <c r="P42" s="5" t="inlineStr"/>
      <c r="Q42" s="5" t="inlineStr"/>
      <c r="R42" s="5" t="inlineStr"/>
      <c r="S42" s="5" t="inlineStr"/>
      <c r="T42" s="5" t="inlineStr"/>
    </row>
    <row r="43">
      <c r="A43" s="2" t="inlineStr">
        <is>
          <t>{5C01B036-AAC1-4876-BF5E-30428802A639}</t>
        </is>
      </c>
      <c r="B43" s="2" t="inlineStr">
        <is>
          <t>355</t>
        </is>
      </c>
      <c r="C43" s="2" t="inlineStr">
        <is>
          <t>Chefornak</t>
        </is>
      </c>
      <c r="D43" s="2" t="inlineStr">
        <is>
          <t>Lower Kuskokwim School District</t>
        </is>
      </c>
      <c r="E43" s="2" t="inlineStr">
        <is>
          <t>60.85685837</t>
        </is>
      </c>
      <c r="F43" s="2" t="inlineStr">
        <is>
          <t>-162.2765278</t>
        </is>
      </c>
      <c r="G43" s="2" t="inlineStr">
        <is>
          <t>710</t>
        </is>
      </c>
      <c r="H43" s="2" t="inlineStr">
        <is>
          <t>24700</t>
        </is>
      </c>
      <c r="I43" s="2" t="inlineStr">
        <is>
          <t>structural</t>
        </is>
      </c>
      <c r="J43" s="2" t="inlineStr">
        <is>
          <t>shared_point_labels</t>
        </is>
      </c>
      <c r="K43" s="2" t="inlineStr">
        <is>
          <t>high</t>
        </is>
      </c>
      <c r="L43" s="3" t="inlineStr">
        <is>
          <t>same point as records labelled KIPNUK, NIGHTMUTE, TUNTUTULIAK, TUNUNAK</t>
        </is>
      </c>
      <c r="M43" s="2" t="inlineStr"/>
      <c r="N43" s="2" t="inlineStr">
        <is>
          <t>point:-446983:1236014</t>
        </is>
      </c>
      <c r="O43" s="4">
        <f>HYPERLINK("https://www.google.com/maps?q=60.85685837,-162.2765278","map")</f>
        <v/>
      </c>
      <c r="P43" s="5" t="inlineStr"/>
      <c r="Q43" s="5" t="inlineStr"/>
      <c r="R43" s="5" t="inlineStr"/>
      <c r="S43" s="5" t="inlineStr"/>
      <c r="T43" s="5" t="inlineStr"/>
    </row>
    <row r="44">
      <c r="A44" s="2" t="inlineStr">
        <is>
          <t>{72E67206-F008-47E9-AE98-4C85EAD98765}</t>
        </is>
      </c>
      <c r="B44" s="2" t="inlineStr">
        <is>
          <t>950</t>
        </is>
      </c>
      <c r="C44" s="2" t="inlineStr">
        <is>
          <t>Kipnuk</t>
        </is>
      </c>
      <c r="D44" s="2" t="inlineStr">
        <is>
          <t>Lower Kuskokwim School District</t>
        </is>
      </c>
      <c r="E44" s="2" t="inlineStr">
        <is>
          <t>60.85685837</t>
        </is>
      </c>
      <c r="F44" s="2" t="inlineStr">
        <is>
          <t>-162.2765278</t>
        </is>
      </c>
      <c r="G44" s="2" t="inlineStr">
        <is>
          <t>710</t>
        </is>
      </c>
      <c r="H44" s="2" t="inlineStr">
        <is>
          <t>24700</t>
        </is>
      </c>
      <c r="I44" s="2" t="inlineStr">
        <is>
          <t>structural</t>
        </is>
      </c>
      <c r="J44" s="2" t="inlineStr">
        <is>
          <t>shared_point_labels</t>
        </is>
      </c>
      <c r="K44" s="2" t="inlineStr">
        <is>
          <t>high</t>
        </is>
      </c>
      <c r="L44" s="3" t="inlineStr">
        <is>
          <t>same point as records labelled CHEFORNAK, NIGHTMUTE, TUNTUTULIAK, TUNUNAK</t>
        </is>
      </c>
      <c r="M44" s="2" t="inlineStr"/>
      <c r="N44" s="2" t="inlineStr">
        <is>
          <t>point:-446983:1236014</t>
        </is>
      </c>
      <c r="O44" s="4">
        <f>HYPERLINK("https://www.google.com/maps?q=60.85685837,-162.2765278","map")</f>
        <v/>
      </c>
      <c r="P44" s="5" t="inlineStr"/>
      <c r="Q44" s="5" t="inlineStr"/>
      <c r="R44" s="5" t="inlineStr"/>
      <c r="S44" s="5" t="inlineStr"/>
      <c r="T44" s="5" t="inlineStr"/>
    </row>
    <row r="45">
      <c r="A45" s="2" t="inlineStr">
        <is>
          <t>{96705E92-63AB-41A0-B0E8-52639E90CEC8}</t>
        </is>
      </c>
      <c r="B45" s="2" t="inlineStr">
        <is>
          <t>1664</t>
        </is>
      </c>
      <c r="C45" s="2" t="inlineStr">
        <is>
          <t>Tuntutuliak</t>
        </is>
      </c>
      <c r="D45" s="2" t="inlineStr">
        <is>
          <t>Lower Kuskokwim School District</t>
        </is>
      </c>
      <c r="E45" s="2" t="inlineStr">
        <is>
          <t>60.85685837</t>
        </is>
      </c>
      <c r="F45" s="2" t="inlineStr">
        <is>
          <t>-162.2765278</t>
        </is>
      </c>
      <c r="G45" s="2" t="inlineStr">
        <is>
          <t>710</t>
        </is>
      </c>
      <c r="H45" s="2" t="inlineStr">
        <is>
          <t>24700</t>
        </is>
      </c>
      <c r="I45" s="2" t="inlineStr">
        <is>
          <t>structural</t>
        </is>
      </c>
      <c r="J45" s="2" t="inlineStr">
        <is>
          <t>shared_point_labels</t>
        </is>
      </c>
      <c r="K45" s="2" t="inlineStr">
        <is>
          <t>high</t>
        </is>
      </c>
      <c r="L45" s="3" t="inlineStr">
        <is>
          <t>same point as records labelled CHEFORNAK, KIPNUK, NIGHTMUTE, TUNUNAK</t>
        </is>
      </c>
      <c r="M45" s="2" t="inlineStr"/>
      <c r="N45" s="2" t="inlineStr">
        <is>
          <t>point:-446983:1236014</t>
        </is>
      </c>
      <c r="O45" s="4">
        <f>HYPERLINK("https://www.google.com/maps?q=60.85685837,-162.2765278","map")</f>
        <v/>
      </c>
      <c r="P45" s="5" t="inlineStr"/>
      <c r="Q45" s="5" t="inlineStr"/>
      <c r="R45" s="5" t="inlineStr"/>
      <c r="S45" s="5" t="inlineStr"/>
      <c r="T45" s="5" t="inlineStr"/>
    </row>
    <row r="46">
      <c r="A46" s="2" t="inlineStr">
        <is>
          <t>{AE061686-3F3E-4156-A901-5DDB6E3F0237}</t>
        </is>
      </c>
      <c r="B46" s="2" t="inlineStr">
        <is>
          <t>1179</t>
        </is>
      </c>
      <c r="C46" s="2" t="inlineStr">
        <is>
          <t>Nightmute</t>
        </is>
      </c>
      <c r="D46" s="2" t="inlineStr">
        <is>
          <t>Lower Kuskokwim School District</t>
        </is>
      </c>
      <c r="E46" s="2" t="inlineStr">
        <is>
          <t>60.85685837</t>
        </is>
      </c>
      <c r="F46" s="2" t="inlineStr">
        <is>
          <t>-162.2765278</t>
        </is>
      </c>
      <c r="G46" s="2" t="inlineStr">
        <is>
          <t>710</t>
        </is>
      </c>
      <c r="H46" s="2" t="inlineStr">
        <is>
          <t>24700</t>
        </is>
      </c>
      <c r="I46" s="2" t="inlineStr">
        <is>
          <t>structural</t>
        </is>
      </c>
      <c r="J46" s="2" t="inlineStr">
        <is>
          <t>shared_point_labels</t>
        </is>
      </c>
      <c r="K46" s="2" t="inlineStr">
        <is>
          <t>high</t>
        </is>
      </c>
      <c r="L46" s="3" t="inlineStr">
        <is>
          <t>same point as records labelled CHEFORNAK, KIPNUK, TUNTUTULIAK, TUNUNAK</t>
        </is>
      </c>
      <c r="M46" s="2" t="inlineStr"/>
      <c r="N46" s="2" t="inlineStr">
        <is>
          <t>point:-446983:1236014</t>
        </is>
      </c>
      <c r="O46" s="4">
        <f>HYPERLINK("https://www.google.com/maps?q=60.85685837,-162.2765278","map")</f>
        <v/>
      </c>
      <c r="P46" s="5" t="inlineStr"/>
      <c r="Q46" s="5" t="inlineStr"/>
      <c r="R46" s="5" t="inlineStr"/>
      <c r="S46" s="5" t="inlineStr"/>
      <c r="T46" s="5" t="inlineStr"/>
    </row>
    <row r="47">
      <c r="A47" s="2" t="inlineStr">
        <is>
          <t>{D32639C4-3E15-4313-904F-B53FE9C4C207}</t>
        </is>
      </c>
      <c r="B47" s="2" t="inlineStr">
        <is>
          <t>1666</t>
        </is>
      </c>
      <c r="C47" s="2" t="inlineStr">
        <is>
          <t>Tununak</t>
        </is>
      </c>
      <c r="D47" s="2" t="inlineStr">
        <is>
          <t>Lower Kuskokwim School District</t>
        </is>
      </c>
      <c r="E47" s="2" t="inlineStr">
        <is>
          <t>60.85685837</t>
        </is>
      </c>
      <c r="F47" s="2" t="inlineStr">
        <is>
          <t>-162.2765278</t>
        </is>
      </c>
      <c r="G47" s="2" t="inlineStr">
        <is>
          <t>710</t>
        </is>
      </c>
      <c r="H47" s="2" t="inlineStr">
        <is>
          <t>24700</t>
        </is>
      </c>
      <c r="I47" s="2" t="inlineStr">
        <is>
          <t>structural</t>
        </is>
      </c>
      <c r="J47" s="2" t="inlineStr">
        <is>
          <t>shared_point_labels</t>
        </is>
      </c>
      <c r="K47" s="2" t="inlineStr">
        <is>
          <t>high</t>
        </is>
      </c>
      <c r="L47" s="3" t="inlineStr">
        <is>
          <t>same point as records labelled CHEFORNAK, KIPNUK, NIGHTMUTE, TUNTUTULIAK</t>
        </is>
      </c>
      <c r="M47" s="2" t="inlineStr"/>
      <c r="N47" s="2" t="inlineStr">
        <is>
          <t>point:-446983:1236014</t>
        </is>
      </c>
      <c r="O47" s="4">
        <f>HYPERLINK("https://www.google.com/maps?q=60.85685837,-162.2765278","map")</f>
        <v/>
      </c>
      <c r="P47" s="5" t="inlineStr"/>
      <c r="Q47" s="5" t="inlineStr"/>
      <c r="R47" s="5" t="inlineStr"/>
      <c r="S47" s="5" t="inlineStr"/>
      <c r="T47" s="5" t="inlineStr"/>
    </row>
    <row r="48">
      <c r="A48" s="2" t="inlineStr">
        <is>
          <t>{67812973-1F5E-4F2F-9E8E-A8FEDA823FAF}</t>
        </is>
      </c>
      <c r="B48" s="2" t="inlineStr">
        <is>
          <t>1619</t>
        </is>
      </c>
      <c r="C48" s="2" t="inlineStr">
        <is>
          <t>Teller</t>
        </is>
      </c>
      <c r="D48" s="2" t="inlineStr">
        <is>
          <t>Bering Straits School District</t>
        </is>
      </c>
      <c r="E48" s="2" t="inlineStr">
        <is>
          <t>65.33289523</t>
        </is>
      </c>
      <c r="F48" s="2" t="inlineStr">
        <is>
          <t>-166.4864243</t>
        </is>
      </c>
      <c r="G48" s="2" t="inlineStr">
        <is>
          <t>694</t>
        </is>
      </c>
      <c r="H48" s="2" t="inlineStr">
        <is>
          <t>52000</t>
        </is>
      </c>
      <c r="I48" s="2" t="inlineStr">
        <is>
          <t>structural</t>
        </is>
      </c>
      <c r="J48" s="2" t="inlineStr">
        <is>
          <t>shared_point_labels</t>
        </is>
      </c>
      <c r="K48" s="2" t="inlineStr">
        <is>
          <t>high</t>
        </is>
      </c>
      <c r="L48" s="3" t="inlineStr">
        <is>
          <t>same point as records labelled SAVOONGA, ST MICHAEL</t>
        </is>
      </c>
      <c r="M48" s="2" t="inlineStr"/>
      <c r="N48" s="2" t="inlineStr">
        <is>
          <t>point:-578654:1762719</t>
        </is>
      </c>
      <c r="O48" s="4">
        <f>HYPERLINK("https://www.google.com/maps?q=65.33289523,-166.4864243","map")</f>
        <v/>
      </c>
      <c r="P48" s="5" t="inlineStr"/>
      <c r="Q48" s="5" t="inlineStr"/>
      <c r="R48" s="5" t="inlineStr"/>
      <c r="S48" s="5" t="inlineStr"/>
      <c r="T48" s="5" t="inlineStr"/>
    </row>
    <row r="49">
      <c r="A49" s="2" t="inlineStr">
        <is>
          <t>{7A206A94-00D4-4121-BA0A-35593A0FADDC}</t>
        </is>
      </c>
      <c r="B49" s="2" t="inlineStr">
        <is>
          <t>1441</t>
        </is>
      </c>
      <c r="C49" s="2" t="inlineStr">
        <is>
          <t>Saint Michael</t>
        </is>
      </c>
      <c r="D49" s="2" t="inlineStr">
        <is>
          <t>Bering Straits School District</t>
        </is>
      </c>
      <c r="E49" s="2" t="inlineStr">
        <is>
          <t>65.33289523</t>
        </is>
      </c>
      <c r="F49" s="2" t="inlineStr">
        <is>
          <t>-166.4864243</t>
        </is>
      </c>
      <c r="G49" s="2" t="inlineStr">
        <is>
          <t>694</t>
        </is>
      </c>
      <c r="H49" s="2" t="inlineStr">
        <is>
          <t>52000</t>
        </is>
      </c>
      <c r="I49" s="2" t="inlineStr">
        <is>
          <t>structural</t>
        </is>
      </c>
      <c r="J49" s="2" t="inlineStr">
        <is>
          <t>shared_point_labels</t>
        </is>
      </c>
      <c r="K49" s="2" t="inlineStr">
        <is>
          <t>high</t>
        </is>
      </c>
      <c r="L49" s="3" t="inlineStr">
        <is>
          <t>same point as records labelled SAVOONGA, TELLER</t>
        </is>
      </c>
      <c r="M49" s="2" t="inlineStr"/>
      <c r="N49" s="2" t="inlineStr">
        <is>
          <t>point:-578654:1762719</t>
        </is>
      </c>
      <c r="O49" s="4">
        <f>HYPERLINK("https://www.google.com/maps?q=65.33289523,-166.4864243","map")</f>
        <v/>
      </c>
      <c r="P49" s="5" t="inlineStr"/>
      <c r="Q49" s="5" t="inlineStr"/>
      <c r="R49" s="5" t="inlineStr"/>
      <c r="S49" s="5" t="inlineStr"/>
      <c r="T49" s="5" t="inlineStr"/>
    </row>
    <row r="50">
      <c r="A50" s="2" t="inlineStr">
        <is>
          <t>{8970B1E0-DE4E-4A98-8A1B-5C858F18F05A}</t>
        </is>
      </c>
      <c r="B50" s="2" t="inlineStr">
        <is>
          <t>1467</t>
        </is>
      </c>
      <c r="C50" s="2" t="inlineStr">
        <is>
          <t>Savoonga</t>
        </is>
      </c>
      <c r="D50" s="2" t="inlineStr">
        <is>
          <t>Bering Straits School District</t>
        </is>
      </c>
      <c r="E50" s="2" t="inlineStr">
        <is>
          <t>65.33289523</t>
        </is>
      </c>
      <c r="F50" s="2" t="inlineStr">
        <is>
          <t>-166.4864243</t>
        </is>
      </c>
      <c r="G50" s="2" t="inlineStr">
        <is>
          <t>694</t>
        </is>
      </c>
      <c r="H50" s="2" t="inlineStr">
        <is>
          <t>52000</t>
        </is>
      </c>
      <c r="I50" s="2" t="inlineStr">
        <is>
          <t>structural</t>
        </is>
      </c>
      <c r="J50" s="2" t="inlineStr">
        <is>
          <t>shared_point_labels</t>
        </is>
      </c>
      <c r="K50" s="2" t="inlineStr">
        <is>
          <t>high</t>
        </is>
      </c>
      <c r="L50" s="3" t="inlineStr">
        <is>
          <t>same point as records labelled ST MICHAEL, TELLER</t>
        </is>
      </c>
      <c r="M50" s="2" t="inlineStr"/>
      <c r="N50" s="2" t="inlineStr">
        <is>
          <t>point:-578654:1762719</t>
        </is>
      </c>
      <c r="O50" s="4">
        <f>HYPERLINK("https://www.google.com/maps?q=65.33289523,-166.4864243","map")</f>
        <v/>
      </c>
      <c r="P50" s="5" t="inlineStr"/>
      <c r="Q50" s="5" t="inlineStr"/>
      <c r="R50" s="5" t="inlineStr"/>
      <c r="S50" s="5" t="inlineStr"/>
      <c r="T50" s="5" t="inlineStr"/>
    </row>
    <row r="51">
      <c r="A51" s="2" t="inlineStr">
        <is>
          <t>{EF7B6BA1-2FF6-404A-9A5F-01A83B09D969}</t>
        </is>
      </c>
      <c r="B51" s="2" t="inlineStr">
        <is>
          <t>1456</t>
        </is>
      </c>
      <c r="C51" s="2" t="inlineStr">
        <is>
          <t>Sand Point</t>
        </is>
      </c>
      <c r="D51" s="2" t="inlineStr">
        <is>
          <t>AK DOT&amp;PF Sand Point</t>
        </is>
      </c>
      <c r="E51" s="2" t="inlineStr">
        <is>
          <t>53.896944</t>
        </is>
      </c>
      <c r="F51" s="2" t="inlineStr">
        <is>
          <t>-166.54</t>
        </is>
      </c>
      <c r="G51" s="2" t="n"/>
      <c r="H51" s="2" t="inlineStr">
        <is>
          <t>2000</t>
        </is>
      </c>
      <c r="I51" s="2" t="inlineStr">
        <is>
          <t>structural</t>
        </is>
      </c>
      <c r="J51" s="2" t="inlineStr">
        <is>
          <t>shared_point_labels</t>
        </is>
      </c>
      <c r="K51" s="2" t="inlineStr">
        <is>
          <t>high</t>
        </is>
      </c>
      <c r="L51" s="3" t="inlineStr">
        <is>
          <t>same point as records labelled UNALASKA</t>
        </is>
      </c>
      <c r="M51" s="2" t="inlineStr"/>
      <c r="N51" s="2" t="inlineStr">
        <is>
          <t>point:-820756:509144</t>
        </is>
      </c>
      <c r="O51" s="4">
        <f>HYPERLINK("https://www.google.com/maps?q=53.896944,-166.54","map")</f>
        <v/>
      </c>
      <c r="P51" s="5" t="inlineStr"/>
      <c r="Q51" s="5" t="inlineStr"/>
      <c r="R51" s="5" t="inlineStr"/>
      <c r="S51" s="5" t="inlineStr"/>
      <c r="T51" s="5" t="inlineStr"/>
    </row>
    <row r="52">
      <c r="A52" s="2" t="inlineStr">
        <is>
          <t>{24C9FD54-6B5B-4128-A231-C770333A63C0}</t>
        </is>
      </c>
      <c r="B52" s="2" t="inlineStr">
        <is>
          <t>638</t>
        </is>
      </c>
      <c r="C52" s="2" t="inlineStr">
        <is>
          <t>Fort Yukon</t>
        </is>
      </c>
      <c r="D52" s="2" t="inlineStr">
        <is>
          <t>Crowley Marine Services</t>
        </is>
      </c>
      <c r="E52" s="2" t="inlineStr">
        <is>
          <t>66.564199</t>
        </is>
      </c>
      <c r="F52" s="2" t="inlineStr">
        <is>
          <t>-145.2576394</t>
        </is>
      </c>
      <c r="G52" s="2" t="n"/>
      <c r="H52" s="2" t="n"/>
      <c r="I52" s="2" t="inlineStr">
        <is>
          <t>structural</t>
        </is>
      </c>
      <c r="J52" s="2" t="inlineStr">
        <is>
          <t>shared_point_labels</t>
        </is>
      </c>
      <c r="K52" s="2" t="inlineStr">
        <is>
          <t>high</t>
        </is>
      </c>
      <c r="L52" s="3" t="inlineStr">
        <is>
          <t>same point as records labelled GALENA</t>
        </is>
      </c>
      <c r="M52" s="2" t="inlineStr"/>
      <c r="N52" s="2" t="inlineStr">
        <is>
          <t>point:388379:1870787</t>
        </is>
      </c>
      <c r="O52" s="4">
        <f>HYPERLINK("https://www.google.com/maps?q=66.564199,-145.2576394","map")</f>
        <v/>
      </c>
      <c r="P52" s="5" t="inlineStr"/>
      <c r="Q52" s="5" t="inlineStr"/>
      <c r="R52" s="5" t="inlineStr"/>
      <c r="S52" s="5" t="inlineStr"/>
      <c r="T52" s="5" t="inlineStr"/>
    </row>
    <row r="53">
      <c r="A53" s="2" t="inlineStr">
        <is>
          <t>{F0FFCC8F-A5B7-4ADC-8C28-C7FC319FCDDB}</t>
        </is>
      </c>
      <c r="B53" s="2" t="inlineStr">
        <is>
          <t>656</t>
        </is>
      </c>
      <c r="C53" s="2" t="inlineStr">
        <is>
          <t>Galena</t>
        </is>
      </c>
      <c r="D53" s="2" t="inlineStr">
        <is>
          <t>Crowley Marine Services</t>
        </is>
      </c>
      <c r="E53" s="2" t="inlineStr">
        <is>
          <t>66.564199</t>
        </is>
      </c>
      <c r="F53" s="2" t="inlineStr">
        <is>
          <t>-145.2576394</t>
        </is>
      </c>
      <c r="G53" s="2" t="n"/>
      <c r="H53" s="2" t="n"/>
      <c r="I53" s="2" t="inlineStr">
        <is>
          <t>structural</t>
        </is>
      </c>
      <c r="J53" s="2" t="inlineStr">
        <is>
          <t>shared_point_labels</t>
        </is>
      </c>
      <c r="K53" s="2" t="inlineStr">
        <is>
          <t>high</t>
        </is>
      </c>
      <c r="L53" s="3" t="inlineStr">
        <is>
          <t>same point as records labelled FORT YUKON</t>
        </is>
      </c>
      <c r="M53" s="2" t="inlineStr"/>
      <c r="N53" s="2" t="inlineStr">
        <is>
          <t>point:388379:1870787</t>
        </is>
      </c>
      <c r="O53" s="4">
        <f>HYPERLINK("https://www.google.com/maps?q=66.564199,-145.2576394","map")</f>
        <v/>
      </c>
      <c r="P53" s="5" t="inlineStr"/>
      <c r="Q53" s="5" t="inlineStr"/>
      <c r="R53" s="5" t="inlineStr"/>
      <c r="S53" s="5" t="inlineStr"/>
      <c r="T53" s="5" t="inlineStr"/>
    </row>
    <row r="54">
      <c r="A54" s="2" t="inlineStr">
        <is>
          <t>{32574618-B703-4A8E-85F9-35EC4E4EA4A9}</t>
        </is>
      </c>
      <c r="B54" s="2" t="inlineStr">
        <is>
          <t>1317</t>
        </is>
      </c>
      <c r="C54" s="2" t="inlineStr">
        <is>
          <t>Pilot Point</t>
        </is>
      </c>
      <c r="D54" s="2" t="inlineStr">
        <is>
          <t>AK DOT&amp;PF Pilot Point</t>
        </is>
      </c>
      <c r="E54" s="2" t="inlineStr">
        <is>
          <t>57.578333</t>
        </is>
      </c>
      <c r="F54" s="2" t="inlineStr">
        <is>
          <t>-157.053889</t>
        </is>
      </c>
      <c r="G54" s="2" t="n"/>
      <c r="H54" s="2" t="inlineStr">
        <is>
          <t>1000</t>
        </is>
      </c>
      <c r="I54" s="2" t="inlineStr">
        <is>
          <t>structural</t>
        </is>
      </c>
      <c r="J54" s="2" t="inlineStr">
        <is>
          <t>one_digit_typo</t>
        </is>
      </c>
      <c r="K54" s="2" t="inlineStr">
        <is>
          <t>high</t>
        </is>
      </c>
      <c r="L54" s="3" t="inlineStr">
        <is>
          <t>31 km from the PILOT POINT cluster; editing one digit of longitude to -157.5539 lands within 3 km</t>
        </is>
      </c>
      <c r="M54" s="2" t="inlineStr">
        <is>
          <t>longitude -&gt; -157.553900</t>
        </is>
      </c>
      <c r="N54" s="2" t="n"/>
      <c r="O54" s="4">
        <f>HYPERLINK("https://www.google.com/maps?q=57.578333,-157.053889","map")</f>
        <v/>
      </c>
      <c r="P54" s="5" t="inlineStr"/>
      <c r="Q54" s="5" t="inlineStr"/>
      <c r="R54" s="5" t="inlineStr"/>
      <c r="S54" s="5" t="inlineStr"/>
      <c r="T54" s="5" t="inlineStr"/>
    </row>
    <row r="55">
      <c r="A55" s="2" t="inlineStr">
        <is>
          <t>{878BC716-270E-4C3D-A08A-4C69C561E231}</t>
        </is>
      </c>
      <c r="B55" s="2" t="inlineStr">
        <is>
          <t>1803</t>
        </is>
      </c>
      <c r="C55" s="2" t="inlineStr">
        <is>
          <t>Kalskag</t>
        </is>
      </c>
      <c r="D55" s="2" t="inlineStr">
        <is>
          <t>Morgan's Fuel Service, Kalskag</t>
        </is>
      </c>
      <c r="E55" s="2" t="n"/>
      <c r="F55" s="2" t="n"/>
      <c r="G55" s="2" t="n"/>
      <c r="H55" s="2" t="n"/>
      <c r="I55" s="2" t="inlineStr">
        <is>
          <t>structural</t>
        </is>
      </c>
      <c r="J55" s="2" t="inlineStr">
        <is>
          <t>spelling_variants</t>
        </is>
      </c>
      <c r="K55" s="2" t="inlineStr">
        <is>
          <t>medium</t>
        </is>
      </c>
      <c r="L55" s="3" t="inlineStr">
        <is>
          <t>community id {50BD3072-1166-4F66-BB42-2E68C28DE654} is spelled ['Kalskag', 'Upper Kalskag']; most common: Upper Kalskag</t>
        </is>
      </c>
      <c r="M55" s="2" t="inlineStr">
        <is>
          <t>community_name -&gt; Upper Kalskag</t>
        </is>
      </c>
      <c r="N55" s="2" t="inlineStr">
        <is>
          <t>cid:{50BD3072-1166-4F66-BB42-2E68C28DE654}</t>
        </is>
      </c>
      <c r="O55" s="2" t="inlineStr"/>
      <c r="P55" s="5" t="inlineStr"/>
      <c r="Q55" s="5" t="inlineStr"/>
      <c r="R55" s="5" t="inlineStr"/>
      <c r="S55" s="5" t="inlineStr"/>
      <c r="T55" s="5" t="inlineStr"/>
    </row>
    <row r="56">
      <c r="A56" s="2" t="inlineStr">
        <is>
          <t>{AEE8ACD5-5A8B-4579-B55C-5FDE743EBC66}</t>
        </is>
      </c>
      <c r="B56" s="2" t="inlineStr">
        <is>
          <t>1809</t>
        </is>
      </c>
      <c r="C56" s="2" t="inlineStr">
        <is>
          <t>St. George</t>
        </is>
      </c>
      <c r="D56" s="2" t="inlineStr">
        <is>
          <t>Delta Western, St. George</t>
        </is>
      </c>
      <c r="E56" s="2" t="n"/>
      <c r="F56" s="2" t="n"/>
      <c r="G56" s="2" t="n"/>
      <c r="H56" s="2" t="n"/>
      <c r="I56" s="2" t="inlineStr">
        <is>
          <t>structural</t>
        </is>
      </c>
      <c r="J56" s="2" t="inlineStr">
        <is>
          <t>spelling_variants</t>
        </is>
      </c>
      <c r="K56" s="2" t="inlineStr">
        <is>
          <t>medium</t>
        </is>
      </c>
      <c r="L56" s="3" t="inlineStr">
        <is>
          <t>community id {55AFA1A4-5677-44A5-A22C-9F9D370747CE} is spelled ['Saint George', 'St. George']; most common: Saint George</t>
        </is>
      </c>
      <c r="M56" s="2" t="inlineStr">
        <is>
          <t>community_name -&gt; Saint George</t>
        </is>
      </c>
      <c r="N56" s="2" t="inlineStr">
        <is>
          <t>cid:{55AFA1A4-5677-44A5-A22C-9F9D370747CE}</t>
        </is>
      </c>
      <c r="O56" s="2" t="inlineStr"/>
      <c r="P56" s="5" t="inlineStr"/>
      <c r="Q56" s="5" t="inlineStr"/>
      <c r="R56" s="5" t="inlineStr"/>
      <c r="S56" s="5" t="inlineStr"/>
      <c r="T56" s="5" t="inlineStr"/>
    </row>
    <row r="57">
      <c r="A57" s="2" t="inlineStr">
        <is>
          <t>{F3E0DE08-0FD6-4919-BEE4-F765A692A71A}</t>
        </is>
      </c>
      <c r="B57" s="2" t="inlineStr">
        <is>
          <t>1823</t>
        </is>
      </c>
      <c r="C57" s="2" t="inlineStr">
        <is>
          <t>St. George</t>
        </is>
      </c>
      <c r="D57" s="2" t="inlineStr">
        <is>
          <t>Delta Western, St. George (Mobile)</t>
        </is>
      </c>
      <c r="E57" s="2" t="n"/>
      <c r="F57" s="2" t="n"/>
      <c r="G57" s="2" t="n"/>
      <c r="H57" s="2" t="n"/>
      <c r="I57" s="2" t="inlineStr">
        <is>
          <t>structural</t>
        </is>
      </c>
      <c r="J57" s="2" t="inlineStr">
        <is>
          <t>spelling_variants</t>
        </is>
      </c>
      <c r="K57" s="2" t="inlineStr">
        <is>
          <t>medium</t>
        </is>
      </c>
      <c r="L57" s="3" t="inlineStr">
        <is>
          <t>community id {55AFA1A4-5677-44A5-A22C-9F9D370747CE} is spelled ['Saint George', 'St. George']; most common: Saint George</t>
        </is>
      </c>
      <c r="M57" s="2" t="inlineStr">
        <is>
          <t>community_name -&gt; Saint George</t>
        </is>
      </c>
      <c r="N57" s="2" t="inlineStr">
        <is>
          <t>cid:{55AFA1A4-5677-44A5-A22C-9F9D370747CE}</t>
        </is>
      </c>
      <c r="O57" s="2" t="inlineStr"/>
      <c r="P57" s="5" t="inlineStr"/>
      <c r="Q57" s="5" t="inlineStr"/>
      <c r="R57" s="5" t="inlineStr"/>
      <c r="S57" s="5" t="inlineStr"/>
      <c r="T57" s="5" t="inlineStr"/>
    </row>
    <row r="58">
      <c r="A58" s="2" t="inlineStr">
        <is>
          <t>{3DD9A650-CE44-4918-B034-D82AF417BEF1}</t>
        </is>
      </c>
      <c r="B58" s="2" t="inlineStr">
        <is>
          <t>1791</t>
        </is>
      </c>
      <c r="C58" s="2" t="inlineStr">
        <is>
          <t>St. Mary's</t>
        </is>
      </c>
      <c r="D58" s="2" t="inlineStr">
        <is>
          <t>CPD Alaska, St. Mary's</t>
        </is>
      </c>
      <c r="E58" s="2" t="n"/>
      <c r="F58" s="2" t="n"/>
      <c r="G58" s="2" t="n"/>
      <c r="H58" s="2" t="n"/>
      <c r="I58" s="2" t="inlineStr">
        <is>
          <t>structural</t>
        </is>
      </c>
      <c r="J58" s="2" t="inlineStr">
        <is>
          <t>spelling_variants</t>
        </is>
      </c>
      <c r="K58" s="2" t="inlineStr">
        <is>
          <t>medium</t>
        </is>
      </c>
      <c r="L58" s="3" t="inlineStr">
        <is>
          <t>community id {8AB67F75-EAB7-4DEB-8885-83230D155E9C} is spelled ["Saint Mary's", "St. Mary's"]; most common: Saint Mary's</t>
        </is>
      </c>
      <c r="M58" s="2" t="inlineStr">
        <is>
          <t>community_name -&gt; Saint Mary's</t>
        </is>
      </c>
      <c r="N58" s="2" t="inlineStr">
        <is>
          <t>cid:{8AB67F75-EAB7-4DEB-8885-83230D155E9C}</t>
        </is>
      </c>
      <c r="O58" s="2" t="inlineStr"/>
      <c r="P58" s="5" t="inlineStr"/>
      <c r="Q58" s="5" t="inlineStr"/>
      <c r="R58" s="5" t="inlineStr"/>
      <c r="S58" s="5" t="inlineStr"/>
      <c r="T58" s="5" t="inlineStr"/>
    </row>
    <row r="59">
      <c r="A59" s="2" t="inlineStr">
        <is>
          <t>{31BBFA6C-90AD-4ACF-B8A0-A25868373F07}</t>
        </is>
      </c>
      <c r="B59" s="2" t="inlineStr">
        <is>
          <t>1787</t>
        </is>
      </c>
      <c r="C59" s="2" t="inlineStr">
        <is>
          <t>St. Paul</t>
        </is>
      </c>
      <c r="D59" s="2" t="inlineStr">
        <is>
          <t>Trident Seafoods, St. Paul</t>
        </is>
      </c>
      <c r="E59" s="2" t="n"/>
      <c r="F59" s="2" t="n"/>
      <c r="G59" s="2" t="n"/>
      <c r="H59" s="2" t="n"/>
      <c r="I59" s="2" t="inlineStr">
        <is>
          <t>structural</t>
        </is>
      </c>
      <c r="J59" s="2" t="inlineStr">
        <is>
          <t>spelling_variants</t>
        </is>
      </c>
      <c r="K59" s="2" t="inlineStr">
        <is>
          <t>medium</t>
        </is>
      </c>
      <c r="L59" s="3" t="inlineStr">
        <is>
          <t>community id {B7D914E8-D125-49F0-B374-8AE610E5DBC7} is spelled ['Saint Paul', 'St. Paul']; most common: Saint Paul</t>
        </is>
      </c>
      <c r="M59" s="2" t="inlineStr">
        <is>
          <t>community_name -&gt; Saint Paul</t>
        </is>
      </c>
      <c r="N59" s="2" t="inlineStr">
        <is>
          <t>cid:{B7D914E8-D125-49F0-B374-8AE610E5DBC7}</t>
        </is>
      </c>
      <c r="O59" s="2" t="inlineStr"/>
      <c r="P59" s="5" t="inlineStr"/>
      <c r="Q59" s="5" t="inlineStr"/>
      <c r="R59" s="5" t="inlineStr"/>
      <c r="S59" s="5" t="inlineStr"/>
      <c r="T59" s="5" t="inlineStr"/>
    </row>
    <row r="60">
      <c r="A60" s="2" t="inlineStr">
        <is>
          <t>{F82686D1-FA4A-47B8-84CD-E00DB30C843C}</t>
        </is>
      </c>
      <c r="B60" s="2" t="inlineStr">
        <is>
          <t>1826</t>
        </is>
      </c>
      <c r="C60" s="2" t="inlineStr">
        <is>
          <t>St. Paul</t>
        </is>
      </c>
      <c r="D60" s="2" t="inlineStr">
        <is>
          <t>Delta Western Fixed, St. Paul</t>
        </is>
      </c>
      <c r="E60" s="2" t="n"/>
      <c r="F60" s="2" t="n"/>
      <c r="G60" s="2" t="n"/>
      <c r="H60" s="2" t="n"/>
      <c r="I60" s="2" t="inlineStr">
        <is>
          <t>structural</t>
        </is>
      </c>
      <c r="J60" s="2" t="inlineStr">
        <is>
          <t>spelling_variants</t>
        </is>
      </c>
      <c r="K60" s="2" t="inlineStr">
        <is>
          <t>medium</t>
        </is>
      </c>
      <c r="L60" s="3" t="inlineStr">
        <is>
          <t>community id {B7D914E8-D125-49F0-B374-8AE610E5DBC7} is spelled ['Saint Paul', 'St. Paul']; most common: Saint Paul</t>
        </is>
      </c>
      <c r="M60" s="2" t="inlineStr">
        <is>
          <t>community_name -&gt; Saint Paul</t>
        </is>
      </c>
      <c r="N60" s="2" t="inlineStr">
        <is>
          <t>cid:{B7D914E8-D125-49F0-B374-8AE610E5DBC7}</t>
        </is>
      </c>
      <c r="O60" s="2" t="inlineStr"/>
      <c r="P60" s="5" t="inlineStr"/>
      <c r="Q60" s="5" t="inlineStr"/>
      <c r="R60" s="5" t="inlineStr"/>
      <c r="S60" s="5" t="inlineStr"/>
      <c r="T60" s="5" t="inlineStr"/>
    </row>
    <row r="61">
      <c r="A61" s="2" t="inlineStr">
        <is>
          <t>{FA1F5BF7-9E47-47F2-97D1-CC25786A50B2}</t>
        </is>
      </c>
      <c r="B61" s="2" t="inlineStr">
        <is>
          <t>1828</t>
        </is>
      </c>
      <c r="C61" s="2" t="inlineStr">
        <is>
          <t>St. Paul</t>
        </is>
      </c>
      <c r="D61" s="2" t="inlineStr">
        <is>
          <t>St. Paul Fuel LLC (Mobile), St. Paul</t>
        </is>
      </c>
      <c r="E61" s="2" t="n"/>
      <c r="F61" s="2" t="n"/>
      <c r="G61" s="2" t="n"/>
      <c r="H61" s="2" t="n"/>
      <c r="I61" s="2" t="inlineStr">
        <is>
          <t>structural</t>
        </is>
      </c>
      <c r="J61" s="2" t="inlineStr">
        <is>
          <t>spelling_variants</t>
        </is>
      </c>
      <c r="K61" s="2" t="inlineStr">
        <is>
          <t>medium</t>
        </is>
      </c>
      <c r="L61" s="3" t="inlineStr">
        <is>
          <t>community id {B7D914E8-D125-49F0-B374-8AE610E5DBC7} is spelled ['Saint Paul', 'St. Paul']; most common: Saint Paul</t>
        </is>
      </c>
      <c r="M61" s="2" t="inlineStr">
        <is>
          <t>community_name -&gt; Saint Paul</t>
        </is>
      </c>
      <c r="N61" s="2" t="inlineStr">
        <is>
          <t>cid:{B7D914E8-D125-49F0-B374-8AE610E5DBC7}</t>
        </is>
      </c>
      <c r="O61" s="2" t="inlineStr"/>
      <c r="P61" s="5" t="inlineStr"/>
      <c r="Q61" s="5" t="inlineStr"/>
      <c r="R61" s="5" t="inlineStr"/>
      <c r="S61" s="5" t="inlineStr"/>
      <c r="T61" s="5" t="inlineStr"/>
    </row>
    <row r="62">
      <c r="A62" s="2" t="inlineStr">
        <is>
          <t>{7DAF9711-C096-4FF4-9D11-1669A43A122B}</t>
        </is>
      </c>
      <c r="B62" s="2" t="inlineStr">
        <is>
          <t>650</t>
        </is>
      </c>
      <c r="C62" s="2" t="inlineStr">
        <is>
          <t>Galena</t>
        </is>
      </c>
      <c r="D62" s="2" t="inlineStr">
        <is>
          <t>Galena City School District</t>
        </is>
      </c>
      <c r="E62" s="2" t="inlineStr">
        <is>
          <t>64.746349</t>
        </is>
      </c>
      <c r="F62" s="2" t="inlineStr">
        <is>
          <t>-156.878981</t>
        </is>
      </c>
      <c r="G62" s="2" t="inlineStr">
        <is>
          <t>173</t>
        </is>
      </c>
      <c r="H62" s="2" t="inlineStr">
        <is>
          <t>3000</t>
        </is>
      </c>
      <c r="I62" s="2" t="inlineStr">
        <is>
          <t>structural</t>
        </is>
      </c>
      <c r="J62" s="2" t="inlineStr">
        <is>
          <t>within_farm_copies</t>
        </is>
      </c>
      <c r="K62" s="2" t="inlineStr">
        <is>
          <t>low</t>
        </is>
      </c>
      <c r="L62" s="3" t="inlineStr">
        <is>
          <t>farm 173 (GALENA): 2 rows repeat total 3000; count it once</t>
        </is>
      </c>
      <c r="M62" s="2" t="inlineStr"/>
      <c r="N62" s="2" t="inlineStr">
        <is>
          <t>farm:173</t>
        </is>
      </c>
      <c r="O62" s="4">
        <f>HYPERLINK("https://www.google.com/maps?q=64.746349,-156.878981","map")</f>
        <v/>
      </c>
      <c r="P62" s="5" t="inlineStr"/>
      <c r="Q62" s="5" t="inlineStr"/>
      <c r="R62" s="5" t="inlineStr"/>
      <c r="S62" s="5" t="inlineStr"/>
      <c r="T62" s="5" t="inlineStr"/>
    </row>
  </sheetData>
  <autoFilter ref="A1:T62"/>
  <dataValidations count="1">
    <dataValidation sqref="P2:P62" showDropDown="0" showInputMessage="0" showErrorMessage="0" allowBlank="1" type="list">
      <formula1>"approve,approve with my value,reject,ask publisher,remote site (keep as labelled),skip for now"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2026-10-08T21:28:25Z</dcterms:created>
  <dcterms:modified xsi:type="dcterms:W3CDTF">2026-10-08T21:28:25Z</dcterms:modified>
</cp:coreProperties>
</file>