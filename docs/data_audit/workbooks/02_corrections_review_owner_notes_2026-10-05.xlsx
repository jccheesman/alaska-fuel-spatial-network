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ummary" sheetId="2" r:id="rId5"/>
    <sheet state="visible" name="1 Coordinate typos" sheetId="3" r:id="rId6"/>
    <sheet state="visible" name="2 Possible typos" sheetId="4" r:id="rId7"/>
    <sheet state="visible" name="3 Swapped coords" sheetId="5" r:id="rId8"/>
    <sheet state="visible" name="4 Wrong label" sheetId="6" r:id="rId9"/>
    <sheet state="visible" name="5 Copied coords" sheetId="7" r:id="rId10"/>
    <sheet state="visible" name="6 Shared-point stacks" sheetId="8" r:id="rId11"/>
    <sheet state="visible" name="7 Spelling variants" sheetId="9" r:id="rId12"/>
  </sheets>
  <definedNames>
    <definedName hidden="1" localSheetId="2" name="_xlnm._FilterDatabase">'1 Coordinate typos'!$A$1:$X$5</definedName>
    <definedName hidden="1" localSheetId="3" name="_xlnm._FilterDatabase">'2 Possible typos'!$A$1:$X$5</definedName>
    <definedName hidden="1" localSheetId="4" name="_xlnm._FilterDatabase">'3 Swapped coords'!$A$1:$X$3</definedName>
    <definedName hidden="1" localSheetId="5" name="_xlnm._FilterDatabase">'4 Wrong label'!$A$1:$X$10</definedName>
    <definedName hidden="1" localSheetId="6" name="_xlnm._FilterDatabase">'5 Copied coords'!$A$1:$X$5</definedName>
    <definedName hidden="1" localSheetId="7" name="_xlnm._FilterDatabase">'6 Shared-point stacks'!$A$1:$X$52</definedName>
    <definedName hidden="1" localSheetId="8" name="_xlnm._FilterDatabase">'7 Spelling variants'!$A$1:$X$32</definedName>
  </definedNames>
  <calcPr/>
  <extLst>
    <ext uri="GoogleSheetsCustomDataVersion2">
      <go:sheetsCustomData xmlns:go="http://customooxmlschemas.google.com/" r:id="rId13" roundtripDataChecksum="wYN0S0jmrWZlIalyupTbqKQcuTqwUx1+0xDFellbma0="/>
    </ext>
  </extLst>
</workbook>
</file>

<file path=xl/sharedStrings.xml><?xml version="1.0" encoding="utf-8"?>
<sst xmlns="http://schemas.openxmlformats.org/spreadsheetml/2006/main" count="1273" uniqueCount="529">
  <si>
    <t>Bulk-fuel inventory corrections — manual review</t>
  </si>
  <si>
    <t>Group</t>
  </si>
  <si>
    <t>facility_pid</t>
  </si>
  <si>
    <t>facility_id</t>
  </si>
  <si>
    <t>csv_row</t>
  </si>
  <si>
    <t>GlobalID</t>
  </si>
  <si>
    <t>label</t>
  </si>
  <si>
    <t>field</t>
  </si>
  <si>
    <t>current_lat</t>
  </si>
  <si>
    <t>current_lon</t>
  </si>
  <si>
    <t>proposed_lat</t>
  </si>
  <si>
    <t>proposed_lon</t>
  </si>
  <si>
    <t>current_value</t>
  </si>
  <si>
    <t>proposed_value</t>
  </si>
  <si>
    <t>confidence</t>
  </si>
  <si>
    <t>evidence</t>
  </si>
  <si>
    <t>aea_2025_status</t>
  </si>
  <si>
    <t>aea_2025_map_lat</t>
  </si>
  <si>
    <t>Rows</t>
  </si>
  <si>
    <t>aea_2025_map_lon</t>
  </si>
  <si>
    <t>approve</t>
  </si>
  <si>
    <t>map: stored</t>
  </si>
  <si>
    <t>approve with my value</t>
  </si>
  <si>
    <t>map: proposed</t>
  </si>
  <si>
    <t>reject</t>
  </si>
  <si>
    <t>decision</t>
  </si>
  <si>
    <t>your_value</t>
  </si>
  <si>
    <t>ask AEA</t>
  </si>
  <si>
    <t>notes</t>
  </si>
  <si>
    <t>reviewed_by</t>
  </si>
  <si>
    <t>skip for now</t>
  </si>
  <si>
    <t>reviewed_on</t>
  </si>
  <si>
    <t>Not yet decided</t>
  </si>
  <si>
    <t>f000917</t>
  </si>
  <si>
    <t>1 Coordinate typos</t>
  </si>
  <si>
    <t>{E4CF3B9E-8613-49C3-94A8-E46B9248AE34}</t>
  </si>
  <si>
    <t>Delta Junction</t>
  </si>
  <si>
    <t>longitude</t>
  </si>
  <si>
    <t>-144.731094</t>
  </si>
  <si>
    <t>-145.731094</t>
  </si>
  <si>
    <t>medium</t>
  </si>
  <si>
    <t>Delta Junction is at -145.73; stored -144.73 is ~50 km east. f001773 'Healy' sits on the same erroneous spot (copied). AEA geometry agrees with the stored value, so verify with AEA.</t>
  </si>
  <si>
    <t>unchanged</t>
  </si>
  <si>
    <t>What this is: 104 candidate corrections to the AEA Utilities_Bulk_Fuel_Inventory.csv (2022 file, SHA-256 132338fe…). Nothing is applied until mannually approved.</t>
  </si>
  <si>
    <t>Tabs 1–7 hold one correction type each. Tab 'Summary' counts your decisions (formulas update as you fill in).</t>
  </si>
  <si>
    <t>Cells to edit — yellow columns only:</t>
  </si>
  <si>
    <t xml:space="preserve">  decision       choose from the dropdown: approve | approve with my value | reject | ask AEA | skip for now</t>
  </si>
  <si>
    <t xml:space="preserve">  your_value     only if 'approve with my value': the value you want instead (lat,lon or a community name)</t>
  </si>
  <si>
    <t xml:space="preserve">  notes          what you checked (e.g. 'Google satellite: tank farm visible at proposed point')</t>
  </si>
  <si>
    <t xml:space="preserve">  reviewed_by / reviewed_on   your initials and date</t>
  </si>
  <si>
    <t>f000120</t>
  </si>
  <si>
    <t>Example of a filled-in row (format only, not real): decision = approve with my value · your_value = 60.79210,-161.75890 · notes = 'tank farm on satellite 300 m from proposal' · reviewed_by = JC · reviewed_on = 2026-10-06</t>
  </si>
  <si>
    <t>{5AEE4579-120C-418C-965A-911EFB7A4873}</t>
  </si>
  <si>
    <t>Kodiak</t>
  </si>
  <si>
    <t>latitude</t>
  </si>
  <si>
    <t>How to check a row:</t>
  </si>
  <si>
    <t xml:space="preserve">  1. Click 'map: stored' and 'map: proposed' (open Google Maps at each point; nothing is sent until you click).</t>
  </si>
  <si>
    <t>54.853056</t>
  </si>
  <si>
    <t>57.79468</t>
  </si>
  <si>
    <t xml:space="preserve">  2. Look for the tank farm / community at the proposed point; compare with the label.</t>
  </si>
  <si>
    <t>high</t>
  </si>
  <si>
    <t xml:space="preserve">  3. 'aea_2025_status' says what AEA's December 2025 download did with this record: unchanged, map point corrected (use aea_2025_map_lat/lon), or removed.</t>
  </si>
  <si>
    <t>AEA feature geometry (X/Y) puts the site at 57.79468,-152.39286 (Kodiak city); lat column 54.85306 is 328 km off. Builds a hub/position in open Pacific.</t>
  </si>
  <si>
    <t>current_lat / current_lon = the position exactly as stored in the inventory today (even when wrong) · proposed_lat / proposed_lon = the position after the fix (blank for label-only changes).</t>
  </si>
  <si>
    <t>Column notes: facility_pid / facility_id = harness DuckDB keys · csv_row = line in the 2022 CSV (header = line 1) · GlobalID = AEA's stable record id (use this if we move to the 2025 file).</t>
  </si>
  <si>
    <t>Confidence is the investigator's estimate; proposed positions for copied/stacked rows are the typical location of that community's other sites (community-level, not tank-level).</t>
  </si>
  <si>
    <t>Label = 'Healy Lake'</t>
  </si>
  <si>
    <t>Privacy: built from id, location, community, delivery-method and capacity columns only — no contact fields.</t>
  </si>
  <si>
    <t>This tank belongs to Healy Lake, not Delta Junction. Confirmed with satellite imagery</t>
  </si>
  <si>
    <t>JC</t>
  </si>
  <si>
    <t>f000228</t>
  </si>
  <si>
    <t>{0F01BB32-5A29-4652-976C-10E724180102}</t>
  </si>
  <si>
    <t>Petersburg</t>
  </si>
  <si>
    <t>56.236042</t>
  </si>
  <si>
    <t>56.736042</t>
  </si>
  <si>
    <t>Petersburg area; stored 56.236 is ~55 km south in open water/Kupreanof south; candidate 56.736 is ~8 km from town. AEA geometry agrees with the stored value, so verify with AEA.</t>
  </si>
  <si>
    <t>This tank can be grouped with the community label it is given. It is an AT&amp;T facility that is confirmed via Google Maps satellite imagery, but the tank is located about 55km south of Petersburg</t>
  </si>
  <si>
    <t>Address verified on AEA raw Bulk fuel facilitiy CSV</t>
  </si>
  <si>
    <t>f000268</t>
  </si>
  <si>
    <t>{D0D325AD-A296-437B-9213-8A2FD2F3621D}</t>
  </si>
  <si>
    <t>Coldfoot</t>
  </si>
  <si>
    <t>f000486</t>
  </si>
  <si>
    <t>longitude;latitude</t>
  </si>
  <si>
    <t>{32574618-B703-4A8E-85F9-35EC4E4EA4A9}</t>
  </si>
  <si>
    <t>Pilot Point</t>
  </si>
  <si>
    <t>67.252778,-131.699722</t>
  </si>
  <si>
    <t>-157.053889</t>
  </si>
  <si>
    <t>-157.453889</t>
  </si>
  <si>
    <t>67.27808,-150.26877</t>
  </si>
  <si>
    <t>Pilot Point is at -157.58; stored -157.054 is ~30 km east; candidate is ~8 km. AEA geometry agrees with the stored value, so verify with AEA.</t>
  </si>
  <si>
    <t>AEA feature geometry gives -150.26877 (Coldfoot); lon column -131.69972 is in Yukon, Canada, 803 km away; site lies outside every AEA region. First audit missed it (single-site cluster).</t>
  </si>
  <si>
    <t>2 Possible typos</t>
  </si>
  <si>
    <t>Unclear if this needs to move, but this is another AT&amp;T facility</t>
  </si>
  <si>
    <t>f000386</t>
  </si>
  <si>
    <t>{78CFC821-3DC6-4967-BE1E-BF74D043A62F}</t>
  </si>
  <si>
    <t>Wrangell</t>
  </si>
  <si>
    <t>56.136278</t>
  </si>
  <si>
    <t>56.436278</t>
  </si>
  <si>
    <t>Wrangell is at 56.47; stored 56.136 is ~35 km south; candidate within ~4 km. AEA geometry agrees with the stored value, so verify with AEA.</t>
  </si>
  <si>
    <t>Confirmed via satelitte imagery on google maps</t>
  </si>
  <si>
    <t>f000283</t>
  </si>
  <si>
    <t>{8D408F52-5CE0-4A95-A586-79D54041D7C7}</t>
  </si>
  <si>
    <t>Bethel</t>
  </si>
  <si>
    <t>67.79558</t>
  </si>
  <si>
    <t>60.79558</t>
  </si>
  <si>
    <t>One-digit edit 67→60 lands in Bethel (60.79,-161.76); stored point is north of the Arctic Circle. Alone forms Hub_308 (h000054), not in the giant component.</t>
  </si>
  <si>
    <t>This is in the correct spot, confirmed by satellite imagery</t>
  </si>
  <si>
    <t>Confirmed via satellite imagery &amp; address on raw AEA bulk fuel facility CSV</t>
  </si>
  <si>
    <t>f000093</t>
  </si>
  <si>
    <t>{978F2CF3-F873-42E9-A4F4-4744D455FBA9}</t>
  </si>
  <si>
    <t>New Stuyahok</t>
  </si>
  <si>
    <t>-159.3748</t>
  </si>
  <si>
    <t>-157.3748</t>
  </si>
  <si>
    <t>One-digit edit -159→-157 lands in New Stuyahok (59.45,-157.31); stored point is ~110 km west.</t>
  </si>
  <si>
    <t>Places it at airport</t>
  </si>
  <si>
    <t>3 Swapped coords</t>
  </si>
  <si>
    <t>4 Wrong label</t>
  </si>
  <si>
    <t>5 Copied coords</t>
  </si>
  <si>
    <t>f001606</t>
  </si>
  <si>
    <t>{A5E8D42A-4A72-4380-B9D4-5CC0084B55D2}</t>
  </si>
  <si>
    <t>Unalaska</t>
  </si>
  <si>
    <t>latitude;longitude</t>
  </si>
  <si>
    <t>63.89194,-160.6842</t>
  </si>
  <si>
    <t>53.88274,-166.550742</t>
  </si>
  <si>
    <t>medium-high</t>
  </si>
  <si>
    <t>Coordinates swapped with f000147: this 'Unalaska' record sits in Unalakleet (15/15 neighbours Unalakleet) and f000147 'Unalakleet' sits in Dutch Harbor. CommunityID matches the label on both, so the positions are the swapped field. Alone creates Hub_62 (h000216) 'Unalaska' on Norton Sound.</t>
  </si>
  <si>
    <t>6 Shared-point stacks</t>
  </si>
  <si>
    <t>confirmed on AEA raw bulk fuel facility CSV</t>
  </si>
  <si>
    <t>f000147</t>
  </si>
  <si>
    <t>{621FCC2F-3A90-426E-A211-00250864F71E}</t>
  </si>
  <si>
    <t>Unalakleet</t>
  </si>
  <si>
    <t>Pair of f001606 (see there). In the build it is dropped as a cross-borough conflict (tag.assign_community_region).</t>
  </si>
  <si>
    <t>7 Spelling variants</t>
  </si>
  <si>
    <t>Total</t>
  </si>
  <si>
    <t>f000534</t>
  </si>
  <si>
    <t>{5CE97A73-0D33-4600-836B-A3E084CE3826}</t>
  </si>
  <si>
    <t>Craig</t>
  </si>
  <si>
    <t>community_name</t>
  </si>
  <si>
    <t>Coffman Cove</t>
  </si>
  <si>
    <t>Independent point (0.3 km from the nearest other-community site); 5 of 5 sites within 15 km are 'Coffman Cove'. Label probably names the operator's home community, not the site.</t>
  </si>
  <si>
    <t>(label change)</t>
  </si>
  <si>
    <t>The supporting detials in the raw CSV value support the facility being located in Craig. It is just the coordinates that are placed in Coffman Cove</t>
  </si>
  <si>
    <t>f000508</t>
  </si>
  <si>
    <t>{B15A52C6-6F30-470D-9BA8-5037E9F1F1EC}</t>
  </si>
  <si>
    <t>Eielson Afb</t>
  </si>
  <si>
    <t>Anchorage</t>
  </si>
  <si>
    <t>Independent point (1.9 km from the nearest other-community site); 40 of 45 sites within 15 km are 'Anchorage'. Label probably names the operator's home community, not the site.</t>
  </si>
  <si>
    <t>Located on JBER and labeled as JBER on raw CSV table</t>
  </si>
  <si>
    <t>f001192</t>
  </si>
  <si>
    <t>{BFC59C95-ABE4-4959-BE52-7F09A5308991}</t>
  </si>
  <si>
    <t>Fairbanks</t>
  </si>
  <si>
    <t>Fort Yukon</t>
  </si>
  <si>
    <t>Independent point (0.1 km from the nearest other-community site); 20 of 22 sites within 15 km are 'Fort Yukon'. Label probably names the operator's home community, not the site.</t>
  </si>
  <si>
    <t>Located in Fort Yukon. The University of Alaska Fairbanks most likely caused the switch</t>
  </si>
  <si>
    <t>f000531</t>
  </si>
  <si>
    <t>{2B48564F-DF5A-4814-B2B3-21E3157048CA}</t>
  </si>
  <si>
    <t>Nome</t>
  </si>
  <si>
    <t>Independent point (0.3 km from the nearest other-community site); 17 of 18 sites within 15 km are 'Nome'. Label probably names the operator's home community, not the site.</t>
  </si>
  <si>
    <t>f001218</t>
  </si>
  <si>
    <t>{9D56DBE7-1A09-4398-8622-73AF3113418C}</t>
  </si>
  <si>
    <t>f000732</t>
  </si>
  <si>
    <t>{BDC6AEBD-A6BF-4D0C-929B-36D15018837C}</t>
  </si>
  <si>
    <t>Fort Wainwright</t>
  </si>
  <si>
    <t>Seward</t>
  </si>
  <si>
    <t>Independent point (0.2 km from the nearest other-community site); 12 of 12 sites within 15 km are 'Seward'. Label probably names the operator's home community, not the site.</t>
  </si>
  <si>
    <t>Military facility, main office in Fort Wainwright, but facility is physically located in Fort Wainwright</t>
  </si>
  <si>
    <t>f001585</t>
  </si>
  <si>
    <t>{BFF9DB9E-CA56-440D-B966-058492E9DF73}</t>
  </si>
  <si>
    <t>Ketchikan</t>
  </si>
  <si>
    <t>Juneau</t>
  </si>
  <si>
    <t>Independent point (1.0 km from the nearest other-community site); 27 of 27 sites within 15 km are 'Juneau'. Label probably names the operator's home community, not the site.</t>
  </si>
  <si>
    <t>f001469</t>
  </si>
  <si>
    <t>{835A9532-B50F-4307-8766-44E644F988D9}</t>
  </si>
  <si>
    <t>Kenai</t>
  </si>
  <si>
    <t>Latitude 55.353511° N, Longitude: -131.684099° W</t>
  </si>
  <si>
    <t>64.856066,-147.802751</t>
  </si>
  <si>
    <t>60.58319,-151.30288</t>
  </si>
  <si>
    <t>This facility is located in Ketchikan and has the incorrect coordinates. Confirmed via raw CSV file</t>
  </si>
  <si>
    <t>Point duplicates a 'Fairbanks' site within 13 m (copied coordinates); CommunityID agrees with label 'Kenai'. Proposed = medoid of the other 15 'Kenai' sites (community-level precision).</t>
  </si>
  <si>
    <t>f000358</t>
  </si>
  <si>
    <t>{BACAEA02-40B4-467A-B3B9-39C3197CF50D}</t>
  </si>
  <si>
    <t>King Cove</t>
  </si>
  <si>
    <t>King Salmon</t>
  </si>
  <si>
    <t>Independent point (0.1 km from the nearest other-community site); 7 of 7 sites within 15 km are 'King Salmon'. Label probably names the operator's home community, not the site.</t>
  </si>
  <si>
    <t>Address is located in King Salmon, verified via satellite imagery</t>
  </si>
  <si>
    <t>f001399</t>
  </si>
  <si>
    <t>{EE49D47C-9B92-431B-9D0B-77844BA21CF8}</t>
  </si>
  <si>
    <t>Stevens Village</t>
  </si>
  <si>
    <t>Arctic Village</t>
  </si>
  <si>
    <t>Independent point (0.1 km from the nearest other-community site); 6 of 6 sites within 15 km are 'Arctic Village'. Label probably names the operator's home community, not the site.</t>
  </si>
  <si>
    <t>60.67854° N, 151.38001° W</t>
  </si>
  <si>
    <t>Confirmed on satellie imagery that it is a school in Arctic Village</t>
  </si>
  <si>
    <t>The address is noted as 48237 Kenai Spur Hwy, Kenai, AK 99611 on the raw CSV data</t>
  </si>
  <si>
    <t>f000292</t>
  </si>
  <si>
    <t>{6D4B4A33-4BA6-4F24-B682-8F598BC19947}</t>
  </si>
  <si>
    <t>Klawock</t>
  </si>
  <si>
    <t>66.54924307,-152.63272144</t>
  </si>
  <si>
    <t>55.55317,-133.08533</t>
  </si>
  <si>
    <t>Point duplicates a 'Allakaket' site within 7 m (copied coordinates); CommunityID agrees with label 'Klawock'. Proposed = medoid of the other 7 'Klawock' sites (community-level precision).</t>
  </si>
  <si>
    <t xml:space="preserve"> 55.55068° N, -133.09671° W</t>
  </si>
  <si>
    <t>The facility was confirmed and lat/long was manually found</t>
  </si>
  <si>
    <t>f000129</t>
  </si>
  <si>
    <t>{FE1C1D96-F623-4694-ADA9-82D02F405415}</t>
  </si>
  <si>
    <t>Newtok</t>
  </si>
  <si>
    <t>59.93413657,-164.03819378</t>
  </si>
  <si>
    <t>60.94047,-164.63101</t>
  </si>
  <si>
    <t>Point duplicates a 'Kipnuk' site within 14 m (copied coordinates); CommunityID agrees with label 'Newtok'. Proposed = medoid of the other 5 'Newtok' sites (community-level precision).</t>
  </si>
  <si>
    <t>Newtok was relocated and Kipnuk was evacuated due to Typhoon Halong. This facility can be dropped</t>
  </si>
  <si>
    <t>f001579</t>
  </si>
  <si>
    <t>{056D0E34-0F8F-4089-8FD4-38E6687C1E94}</t>
  </si>
  <si>
    <t>Noorvik</t>
  </si>
  <si>
    <t>64.32290209,-158.72405346</t>
  </si>
  <si>
    <t>66.83375,-161.039</t>
  </si>
  <si>
    <t>Point duplicates a 'Kaltag' site within 28 m (copied coordinates); CommunityID agrees with label 'Noorvik'. Proposed = medoid of the other 8 'Noorvik' sites (community-level precision).</t>
  </si>
  <si>
    <t>The raw CSV data lists this address "Alaska Village Electric Cooperative
4831 Eagle Street
Anchorage, Alaska  99503". It seems like this may be apart of the tank farm, but need to confirm</t>
  </si>
  <si>
    <t>f001269</t>
  </si>
  <si>
    <t>{5C01B036-AAC1-4876-BF5E-30428802A639}</t>
  </si>
  <si>
    <t>Chefornak</t>
  </si>
  <si>
    <t>60.85685837,-162.27652783</t>
  </si>
  <si>
    <t>60.15795,-164.2801</t>
  </si>
  <si>
    <t>Exact point shared with facilities of ['Kipnuk', 'Nightmute', 'Tuntutuliak', 'Tununak']; the build merges the stack into ONE site labelled by the first CSV row (consolidate_facilities). Proposed = medoid of own-label sites.</t>
  </si>
  <si>
    <t>f001632</t>
  </si>
  <si>
    <t>{DACE43E7-3929-4EAF-A8BD-A30101E62AD1}</t>
  </si>
  <si>
    <t>removed in 2025 file</t>
  </si>
  <si>
    <t>f001581</t>
  </si>
  <si>
    <t>{D87C846D-981B-4E88-AB27-A2DDBF25E98C}</t>
  </si>
  <si>
    <t>65.97994995,-161.13175297</t>
  </si>
  <si>
    <t>Exact point shared with facilities of ['Buckland', 'Kongiganak', 'Koyukuk', 'Kwigillingok']; the build merges the stack into ONE site labelled by the first CSV row (consolidate_facilities). Proposed = medoid of own-label sites.</t>
  </si>
  <si>
    <t>f001514</t>
  </si>
  <si>
    <t>{C558007A-A0AB-4C4D-A836-9CA4EA3BD493}</t>
  </si>
  <si>
    <t>Chevak</t>
  </si>
  <si>
    <t>65.33271165,-166.49422415</t>
  </si>
  <si>
    <t>61.52809,-165.5862</t>
  </si>
  <si>
    <t>Exact point shared with facilities of ['Brevig Mission', 'Nightmute', 'Stebbins', 'Toksook Bay', 'Tununak']; the build merges the stack into ONE site labelled by the first CSV row (consolidate_facilities). Proposed = medoid of own-label sites.</t>
  </si>
  <si>
    <t>f001486</t>
  </si>
  <si>
    <t>{D16B7CA0-CE7A-4D65-864E-5B2599DECFA6}</t>
  </si>
  <si>
    <t>Galena</t>
  </si>
  <si>
    <t>66.56796229,-145.25809</t>
  </si>
  <si>
    <t>64.74393,-156.87661</t>
  </si>
  <si>
    <t>Exact point shared with facilities of ['Fort Yukon']; the build merges the stack into ONE site labelled by the first CSV row (consolidate_facilities). Proposed = medoid of own-label sites.</t>
  </si>
  <si>
    <t>f000066</t>
  </si>
  <si>
    <t>{F0FFCC8F-A5B7-4ADC-8C28-C7FC319FCDDB}</t>
  </si>
  <si>
    <t>66.564199,-145.25763939</t>
  </si>
  <si>
    <t>f000216</t>
  </si>
  <si>
    <t>{C9AFF599-4CD8-41B4-97E2-04CEFD79683A}</t>
  </si>
  <si>
    <t>Holy Cross</t>
  </si>
  <si>
    <t>67.08767141,-157.85672217</t>
  </si>
  <si>
    <t>62.19671,-159.77015</t>
  </si>
  <si>
    <t>Exact point shared with facilities of ['Wales']; the build merges the stack into ONE site labelled by the first CSV row (consolidate_facilities). Proposed = medoid of own-label sites.</t>
  </si>
  <si>
    <t>f000650</t>
  </si>
  <si>
    <t>{5283F15A-66DA-4487-8444-EC1A2C43934D}</t>
  </si>
  <si>
    <t>Hooper Bay</t>
  </si>
  <si>
    <t>64.73391882,-156.91880943</t>
  </si>
  <si>
    <t>61.53062,-166.10234</t>
  </si>
  <si>
    <t>Exact point shared with facilities of ['Galena']; the build merges the stack into ONE site labelled by the first CSV row (consolidate_facilities). Proposed = medoid of own-label sites.</t>
  </si>
  <si>
    <t>map point corrected Dec 2025</t>
  </si>
  <si>
    <t>f000329</t>
  </si>
  <si>
    <t>{CC2BF2C6-ADA9-481E-9BD6-76C5A72A34F4}</t>
  </si>
  <si>
    <t>Kaktovik</t>
  </si>
  <si>
    <t>70.48333467,-157.42603502</t>
  </si>
  <si>
    <t>70.12888,-143.61834</t>
  </si>
  <si>
    <t>Exact point shared with facilities of ['Atqasuk', 'Nuiqsut', 'Point Hope', 'Point Lay']; the build merges the stack into ONE site labelled by the first CSV row (consolidate_facilities). Proposed = medoid of own-label sites.</t>
  </si>
  <si>
    <t>f000058</t>
  </si>
  <si>
    <t>{29A9858B-A138-476A-942F-BA787BE7179B}</t>
  </si>
  <si>
    <t>70.48153169,-157.42508015</t>
  </si>
  <si>
    <t>Exact point shared with facilities of ['Atqasuk', 'Nuiqsut']; the build merges the stack into ONE site labelled by the first CSV row (consolidate_facilities). Proposed = medoid of own-label sites.</t>
  </si>
  <si>
    <t>f000554</t>
  </si>
  <si>
    <t>{4EB90598-665E-44BF-BABD-1D75C638BCF2}</t>
  </si>
  <si>
    <t>Kaltag</t>
  </si>
  <si>
    <t>64.87964972,-157.71866756</t>
  </si>
  <si>
    <t>64.32472,-158.72837</t>
  </si>
  <si>
    <t>Exact point shared with facilities of ['Koyukuk']; the build merges the stack into ONE site labelled by the first CSV row (consolidate_facilities). Proposed = medoid of own-label sites.</t>
  </si>
  <si>
    <t>f000227</t>
  </si>
  <si>
    <t>{E3EF8439-0613-41E1-B9C0-DC105BB3B3C0}</t>
  </si>
  <si>
    <t>Kiana</t>
  </si>
  <si>
    <t>65.98050676,-161.13845313</t>
  </si>
  <si>
    <t>66.97022,-160.44308</t>
  </si>
  <si>
    <t>Exact point shared with facilities of ['Selawik']; the build merges the stack into ONE site labelled by the first CSV row (consolidate_facilities). Proposed = medoid of own-label sites.</t>
  </si>
  <si>
    <t>f001448</t>
  </si>
  <si>
    <t>{72E67206-F008-47E9-AE98-4C85EAD98765}</t>
  </si>
  <si>
    <t>Kipnuk</t>
  </si>
  <si>
    <t>59.94058,-164.03627</t>
  </si>
  <si>
    <t>Exact point shared with facilities of ['Chefornak', 'Nightmute', 'Tuntutuliak', 'Tununak']; the build merges the stack into ONE site labelled by the first CSV row (consolidate_facilities). Proposed = medoid of own-label sites.</t>
  </si>
  <si>
    <t>f000391</t>
  </si>
  <si>
    <t>{5966569A-E364-492E-AF3E-4EE7DCE3828B}</t>
  </si>
  <si>
    <t>Kongiganak</t>
  </si>
  <si>
    <t>59.95892,-162.88771</t>
  </si>
  <si>
    <t>Exact point shared with facilities of ['Buckland', 'Chefornak', 'Koyukuk', 'Kwigillingok']; the build merges the stack into ONE site labelled by the first CSV row (consolidate_facilities). Proposed = medoid of own-label sites.</t>
  </si>
  <si>
    <t>f001518</t>
  </si>
  <si>
    <t>{63C660C1-0960-4011-81E0-33F443CB730D}</t>
  </si>
  <si>
    <t>Koyukuk</t>
  </si>
  <si>
    <t>64.88158,-157.7057</t>
  </si>
  <si>
    <t>Exact point shared with facilities of ['Buckland', 'Chefornak', 'Kongiganak', 'Kwigillingok']; the build merges the stack into ONE site labelled by the first CSV row (consolidate_facilities). Proposed = medoid of own-label sites.</t>
  </si>
  <si>
    <t>f000435</t>
  </si>
  <si>
    <t>{BA9A56A1-5224-45F0-B0DD-070DBFFB2559}</t>
  </si>
  <si>
    <t>Kwigillingok</t>
  </si>
  <si>
    <t>59.88183,-163.15163</t>
  </si>
  <si>
    <t>Exact point shared with facilities of ['Buckland', 'Chefornak', 'Kongiganak', 'Koyukuk']; the build merges the stack into ONE site labelled by the first CSV row (consolidate_facilities). Proposed = medoid of own-label sites.</t>
  </si>
  <si>
    <t>f000896</t>
  </si>
  <si>
    <t>{3EDD2A9C-65E1-4B69-95C6-B86EF44C2A59}</t>
  </si>
  <si>
    <t>Lower Kalskag</t>
  </si>
  <si>
    <t>61.58083535,-159.55105162</t>
  </si>
  <si>
    <t>61.51268,-160.36412</t>
  </si>
  <si>
    <t>Exact point shared with facilities of ['Aniak', 'Chuathbaluk', 'Red Devil', 'Upper Kalskag']; the build merges the stack into ONE site labelled by the first CSV row (consolidate_facilities). Proposed = medoid of own-label sites.</t>
  </si>
  <si>
    <t>f000950</t>
  </si>
  <si>
    <t>{E8C7FE98-2833-47DB-A566-8D25750D48D2}</t>
  </si>
  <si>
    <t>Napakiak</t>
  </si>
  <si>
    <t>60.8107704,-161.42255776</t>
  </si>
  <si>
    <t>60.69617,-161.98203</t>
  </si>
  <si>
    <t>Exact point shared with facilities of ['Toksook Bay']; the build merges the stack into ONE site labelled by the first CSV row (consolidate_facilities). Proposed = medoid of own-label sites.</t>
  </si>
  <si>
    <t>f000627</t>
  </si>
  <si>
    <t>{AE061686-3F3E-4156-A901-5DDB6E3F0237}</t>
  </si>
  <si>
    <t>Nightmute</t>
  </si>
  <si>
    <t>60.47936,-164.72564</t>
  </si>
  <si>
    <t>Exact point shared with facilities of ['Chefornak', 'Kipnuk', 'Tuntutuliak', 'Tununak']; the build merges the stack into ONE site labelled by the first CSV row (consolidate_facilities). Proposed = medoid of own-label sites.</t>
  </si>
  <si>
    <t>f000764</t>
  </si>
  <si>
    <t>{6EF0C04D-FA10-46F4-A9C4-91EC73504366}</t>
  </si>
  <si>
    <t>Exact point shared with facilities of ['Brevig Mission', 'Chevak', 'Stebbins', 'Toksook Bay', 'Tununak']; the build merges the stack into ONE site labelled by the first CSV row (consolidate_facilities). Proposed = medoid of own-label sites.</t>
  </si>
  <si>
    <t>f001250</t>
  </si>
  <si>
    <t>{39943186-EB34-4A7C-B510-E1F60F6E5B77}</t>
  </si>
  <si>
    <t>59.75552294,-154.90217449</t>
  </si>
  <si>
    <t>Exact point shared with facilities of ['Perryville']; the build merges the stack into ONE site labelled by the first CSV row (consolidate_facilities). Proposed = medoid of own-label sites.</t>
  </si>
  <si>
    <t>f001339</t>
  </si>
  <si>
    <t>{41F25397-8168-4A24-BE43-C7E6935BB5AB}</t>
  </si>
  <si>
    <t>66.97150852,-160.43825735</t>
  </si>
  <si>
    <t>Exact point shared with facilities of ['Kiana']; the build merges the stack into ONE site labelled by the first CSV row (consolidate_facilities). Proposed = medoid of own-label sites.</t>
  </si>
  <si>
    <t>f001746</t>
  </si>
  <si>
    <t>{74D2D10D-C73A-4939-AF83-A4D6FE538506}</t>
  </si>
  <si>
    <t>f001571</t>
  </si>
  <si>
    <t>{32E46B3B-A68A-4AED-A995-44AABFBA609D}</t>
  </si>
  <si>
    <t>Nuiqsut</t>
  </si>
  <si>
    <t>70.21607,-150.99798</t>
  </si>
  <si>
    <t>Exact point shared with facilities of ['Atqasuk', 'Kaktovik']; the build merges the stack into ONE site labelled by the first CSV row (consolidate_facilities). Proposed = medoid of own-label sites.</t>
  </si>
  <si>
    <t>f000920</t>
  </si>
  <si>
    <t>{F5682527-F6B3-4629-A821-3EEFC8B9A7F1}</t>
  </si>
  <si>
    <t>f001783</t>
  </si>
  <si>
    <t>{60E9F7B5-8A63-4781-81E6-69A693BAD37D}</t>
  </si>
  <si>
    <t>Clarks Point</t>
  </si>
  <si>
    <t>Clark's Point</t>
  </si>
  <si>
    <t>Exact point shared with facilities of ['Atqasuk', 'Kaktovik', 'Point Hope', 'Point Lay']; the build merges the stack into ONE site labelled by the first CSV row (consolidate_facilities). Proposed = medoid of own-label sites.</t>
  </si>
  <si>
    <t>Same CommunityID as 'Clark's Point' ({16FFACBB-CCBD-4A00-829F-F89904105FD5}); the two spellings form separate hub groups in aggregate_hubs (group key is the raw string).</t>
  </si>
  <si>
    <t>f000052</t>
  </si>
  <si>
    <t>{EE035FC2-70D9-42A6-B940-D1F97F642616}</t>
  </si>
  <si>
    <t>70.48240452,-157.42530546</t>
  </si>
  <si>
    <t>Exact point shared with facilities of ['Atqasuk', 'Point Lay']; the build merges the stack into ONE site labelled by the first CSV row (consolidate_facilities). Proposed = medoid of own-label sites.</t>
  </si>
  <si>
    <t>f001658</t>
  </si>
  <si>
    <t>{4BEF8811-2274-4D00-AC1C-998D040903CB}</t>
  </si>
  <si>
    <t>f000632</t>
  </si>
  <si>
    <t>{4533136B-B178-4EEB-8F4E-1BBF21C03ABE}</t>
  </si>
  <si>
    <t>Perryville</t>
  </si>
  <si>
    <t>55.91043,-159.14614</t>
  </si>
  <si>
    <t>Exact point shared with facilities of ['Nightmute']; the build merges the stack into ONE site labelled by the first CSV row (consolidate_facilities). Proposed = medoid of own-label sites.</t>
  </si>
  <si>
    <t>f000037</t>
  </si>
  <si>
    <t>{14E28DA5-69A4-4D2F-BB92-286834F0B46F}</t>
  </si>
  <si>
    <t>Saint Marys</t>
  </si>
  <si>
    <t>Saint Mary's</t>
  </si>
  <si>
    <t>Same CommunityID as 'Saint Mary's' ({8AB67F75-EAB7-4DEB-8885-83230D155E9C}); the two spellings form separate hub groups in aggregate_hubs (group key is the raw string).</t>
  </si>
  <si>
    <t>f000943</t>
  </si>
  <si>
    <t>{7C70AEC7-1C3A-4867-92DF-B24C9EED18CF}</t>
  </si>
  <si>
    <t>Point Hope</t>
  </si>
  <si>
    <t>f001832</t>
  </si>
  <si>
    <t>68.34952,-166.73593</t>
  </si>
  <si>
    <t>{E7455FE8-21D1-4DB9-B9A2-3E131F07722C}</t>
  </si>
  <si>
    <t>Exact point shared with facilities of ['Atqasuk', 'Kaktovik', 'Nuiqsut', 'Point Lay']; the build merges the stack into ONE site labelled by the first CSV row (consolidate_facilities). Proposed = medoid of own-label sites.</t>
  </si>
  <si>
    <t>f000451</t>
  </si>
  <si>
    <t>{FB96C24B-7E2D-41A4-BB41-17A5FC20670F}</t>
  </si>
  <si>
    <t>f001019</t>
  </si>
  <si>
    <t>{11C61E2B-C979-4D51-A901-5BDF8ABBF907}</t>
  </si>
  <si>
    <t>Point Lay</t>
  </si>
  <si>
    <t>70.12919302,-143.60957182</t>
  </si>
  <si>
    <t>69.74182,-163.01075</t>
  </si>
  <si>
    <t>Exact point shared with facilities of ['Kaktovik']; the build merges the stack into ONE site labelled by the first CSV row (consolidate_facilities). Proposed = medoid of own-label sites.</t>
  </si>
  <si>
    <t>f001107</t>
  </si>
  <si>
    <t>{D74EF297-A73B-4181-A759-56C37FDE41DF}</t>
  </si>
  <si>
    <t>f001590</t>
  </si>
  <si>
    <t>{678A81B7-2420-44FE-AABF-C45E6E48CC82}</t>
  </si>
  <si>
    <t>f000726</t>
  </si>
  <si>
    <t>{8AD14672-6D41-4612-9C63-B8526F36290D}</t>
  </si>
  <si>
    <t>f001076</t>
  </si>
  <si>
    <t>f000266</t>
  </si>
  <si>
    <t>{AC7AE947-7B03-4A9E-ADDF-90A993019617}</t>
  </si>
  <si>
    <t>{15B249BC-700E-47F6-A75F-F39B21D66AD6}</t>
  </si>
  <si>
    <t>Saint George Island</t>
  </si>
  <si>
    <t>Saint George</t>
  </si>
  <si>
    <t>Same CommunityID as 'Saint George' ({55AFA1A4-5677-44A5-A22C-9F9D370747CE}); the two spellings form separate hub groups in aggregate_hubs (group key is the raw string).</t>
  </si>
  <si>
    <t>Exact point shared with facilities of ['Atqasuk', 'Kaktovik', 'Nuiqsut', 'Point Hope']; the build merges the stack into ONE site labelled by the first CSV row (consolidate_facilities). Proposed = medoid of own-label sites.</t>
  </si>
  <si>
    <t>f000879</t>
  </si>
  <si>
    <t>{9F3D036A-E04E-431E-919E-5677FE81308D}</t>
  </si>
  <si>
    <t>f001398</t>
  </si>
  <si>
    <t>{A6656A06-FB6E-44F6-8DEB-0A79C30970C9}</t>
  </si>
  <si>
    <t>Red Devil</t>
  </si>
  <si>
    <t>61.7825,-157.33684</t>
  </si>
  <si>
    <t>f001280</t>
  </si>
  <si>
    <t>Exact point shared with facilities of ['Aniak', 'Chuathbaluk', 'Lower Kalskag', 'Upper Kalskag']; the build merges the stack into ONE site labelled by the first CSV row (consolidate_facilities). Proposed = medoid of own-label sites.</t>
  </si>
  <si>
    <t>{1FF8EE87-BBCC-416D-9B93-4AE5B2704310}</t>
  </si>
  <si>
    <t>f000057</t>
  </si>
  <si>
    <t>{569725C5-F6E9-4B28-96C7-8BDF5BCB6C06}</t>
  </si>
  <si>
    <t>Saint Paul Island</t>
  </si>
  <si>
    <t>f001572</t>
  </si>
  <si>
    <t>{7A206A94-00D4-4121-BA0A-35593A0FADDC}</t>
  </si>
  <si>
    <t>Saint Paul</t>
  </si>
  <si>
    <t>Saint Michael</t>
  </si>
  <si>
    <t>Same CommunityID as 'Saint Paul' ({B7D914E8-D125-49F0-B374-8AE610E5DBC7}); the two spellings form separate hub groups in aggregate_hubs (group key is the raw string).</t>
  </si>
  <si>
    <t>65.33289523,-166.48642428</t>
  </si>
  <si>
    <t>63.47875,-162.03857</t>
  </si>
  <si>
    <t>Exact point shared with facilities of ['Savoonga', 'Teller']; the build merges the stack into ONE site labelled by the first CSV row (consolidate_facilities). Proposed = medoid of own-label sites.</t>
  </si>
  <si>
    <t>f000464</t>
  </si>
  <si>
    <t>{66E08F69-68FD-40AD-99B3-7A2007C0697D}</t>
  </si>
  <si>
    <t>f000443</t>
  </si>
  <si>
    <t>{E4603DF1-062E-46B4-B972-86EC06249D23}</t>
  </si>
  <si>
    <t>f000002</t>
  </si>
  <si>
    <t>{7AFEC631-2122-4F7A-AA44-2584FAFBC1D0}</t>
  </si>
  <si>
    <t>f000719</t>
  </si>
  <si>
    <t>{EF7B6BA1-2FF6-404A-9A5F-01A83B09D969}</t>
  </si>
  <si>
    <t>Sand Point</t>
  </si>
  <si>
    <t>53.896944,-166.54</t>
  </si>
  <si>
    <t>55.34522,-160.48963</t>
  </si>
  <si>
    <t>Exact point shared with facilities of ['Dutch Harbor']; the build merges the stack into ONE site labelled by the first CSV row (consolidate_facilities). Proposed = medoid of own-label sites.</t>
  </si>
  <si>
    <t>f001566</t>
  </si>
  <si>
    <t>{8D19934A-76B9-4669-B600-BFECB43DCCF3}</t>
  </si>
  <si>
    <t>f001560</t>
  </si>
  <si>
    <t>f000139</t>
  </si>
  <si>
    <t>{52B7BAA3-AC93-4AF7-8E9A-0DEEE954C6EE}</t>
  </si>
  <si>
    <t>{8970B1E0-DE4E-4A98-8A1B-5C858F18F05A}</t>
  </si>
  <si>
    <t>Savoonga</t>
  </si>
  <si>
    <t>63.69529,-170.48242</t>
  </si>
  <si>
    <t>Exact point shared with facilities of ['Saint Michael', 'Teller']; the build merges the stack into ONE site labelled by the first CSV row (consolidate_facilities). Proposed = medoid of own-label sites.</t>
  </si>
  <si>
    <t>f000615</t>
  </si>
  <si>
    <t>{C2EE3D68-85C8-4D15-8DCF-735AE274FD08}</t>
  </si>
  <si>
    <t>f000087</t>
  </si>
  <si>
    <t>{4F994E16-6208-479F-B3B2-22194B179F84}</t>
  </si>
  <si>
    <t>Bettles</t>
  </si>
  <si>
    <t>f000832</t>
  </si>
  <si>
    <t>Bettles Field</t>
  </si>
  <si>
    <t>{C8EC9D39-F5C7-4B8E-94A5-4B7BE891EF44}</t>
  </si>
  <si>
    <t>Same CommunityID as 'Bettles Field' ({C4674250-987C-40CD-B550-D246607343D4}); the two spellings form separate hub groups in aggregate_hubs (group key is the raw string).</t>
  </si>
  <si>
    <t>63.77911319,-171.73405841</t>
  </si>
  <si>
    <t>Exact point shared with facilities of ['Gambell']; the build merges the stack into ONE site labelled by the first CSV row (consolidate_facilities). Proposed = medoid of own-label sites.</t>
  </si>
  <si>
    <t>f000466</t>
  </si>
  <si>
    <t>{086531C1-92F4-4C8B-95C4-BA197AAAD587}</t>
  </si>
  <si>
    <t>f001422</t>
  </si>
  <si>
    <t>{2A288E05-E61D-4E46-AE4D-C7D9102802EA}</t>
  </si>
  <si>
    <t>Selawik</t>
  </si>
  <si>
    <t>66.97392587,-160.42911638</t>
  </si>
  <si>
    <t>66.60506,-160.01359</t>
  </si>
  <si>
    <t>f000762</t>
  </si>
  <si>
    <t>{DFFEA010-C78E-4C70-A5A9-0089FFA544FA}</t>
  </si>
  <si>
    <t>f000090</t>
  </si>
  <si>
    <t>{A5398AFB-3BA8-40B9-8A1A-2886C4335A54}</t>
  </si>
  <si>
    <t>f001757</t>
  </si>
  <si>
    <t>{0C5BEC21-0D02-4217-BB25-11C53F2A57C2}</t>
  </si>
  <si>
    <t>f001261</t>
  </si>
  <si>
    <t>{743459E3-FCB1-4860-9E07-61BE3B6A04B3}</t>
  </si>
  <si>
    <t>Stebbins</t>
  </si>
  <si>
    <t>63.51967,-162.28567</t>
  </si>
  <si>
    <t>Exact point shared with facilities of ['Brevig Mission', 'Chevak', 'Nightmute', 'Toksook Bay', 'Tununak']; the build merges the stack into ONE site labelled by the first CSV row (consolidate_facilities). Proposed = medoid of own-label sites.</t>
  </si>
  <si>
    <t>f000105</t>
  </si>
  <si>
    <t>{95BA79A7-EECB-4B9D-8F6C-82D0C48A0838}</t>
  </si>
  <si>
    <t>f000140</t>
  </si>
  <si>
    <t>{83F3B425-DC65-4A0B-94B5-14D3D08E5901}</t>
  </si>
  <si>
    <t>Toksook Bay</t>
  </si>
  <si>
    <t>f001735</t>
  </si>
  <si>
    <t>{A530462C-BE7E-4917-B358-72FCC00AFB68}</t>
  </si>
  <si>
    <t>Naukati</t>
  </si>
  <si>
    <t>60.52867,-165.10579</t>
  </si>
  <si>
    <t>Exact point shared with facilities of ['Napakiak']; the build merges the stack into ONE site labelled by the first CSV row (consolidate_facilities). Proposed = medoid of own-label sites.</t>
  </si>
  <si>
    <t>Naukati Bay</t>
  </si>
  <si>
    <t>Same CommunityID as 'Naukati Bay' ({D95D0788-C59A-4F16-AB72-3A049B1E1AFC}); the two spellings form separate hub groups in aggregate_hubs (group key is the raw string).</t>
  </si>
  <si>
    <t>f001058</t>
  </si>
  <si>
    <t>{114FF0DE-E8A1-487F-8505-67999F6000EC}</t>
  </si>
  <si>
    <t>Kalskag</t>
  </si>
  <si>
    <t>Upper Kalskag</t>
  </si>
  <si>
    <t>Same CommunityID as 'Upper Kalskag' ({50BD3072-1166-4F66-BB42-2E68C28DE654}); the two spellings form separate hub groups in aggregate_hubs (group key is the raw string).</t>
  </si>
  <si>
    <t>f000154</t>
  </si>
  <si>
    <t>{F3C6E0AA-DC43-46B0-9BBD-B22D1A9461DF}</t>
  </si>
  <si>
    <t>Exact point shared with facilities of ['Brevig Mission', 'Chevak', 'Nightmute', 'Stebbins', 'Tununak']; the build merges the stack into ONE site labelled by the first CSV row (consolidate_facilities). Proposed = medoid of own-label sites.</t>
  </si>
  <si>
    <t>f001538</t>
  </si>
  <si>
    <t>{013ABDFD-DB31-4E01-B9E3-9FF760C2BB05}</t>
  </si>
  <si>
    <t>f000649</t>
  </si>
  <si>
    <t>{96705E92-63AB-41A0-B0E8-52639E90CEC8}</t>
  </si>
  <si>
    <t>Tuntutuliak</t>
  </si>
  <si>
    <t>60.34307,-162.66696</t>
  </si>
  <si>
    <t>f001396</t>
  </si>
  <si>
    <t>Exact point shared with facilities of ['Chefornak', 'Kipnuk', 'Nightmute', 'Tununak']; the build merges the stack into ONE site labelled by the first CSV row (consolidate_facilities). Proposed = medoid of own-label sites.</t>
  </si>
  <si>
    <t>{6B2DF7B5-09D6-4DC1-81C3-144F567B9178}</t>
  </si>
  <si>
    <t>f001160</t>
  </si>
  <si>
    <t>{41C39C16-6197-4AF1-A699-E8B804A72331}</t>
  </si>
  <si>
    <t>f000872</t>
  </si>
  <si>
    <t>{D32639C4-3E15-4313-904F-B53FE9C4C207}</t>
  </si>
  <si>
    <t>Tununak</t>
  </si>
  <si>
    <t>60.5861,-165.25553</t>
  </si>
  <si>
    <t>Exact point shared with facilities of ['Chefornak', 'Kipnuk', 'Nightmute', 'Tuntutuliak']; the build merges the stack into ONE site labelled by the first CSV row (consolidate_facilities). Proposed = medoid of own-label sites.</t>
  </si>
  <si>
    <t>f001305</t>
  </si>
  <si>
    <t>{488BFE21-36C1-4EF2-9D43-1DE0A36534D0}</t>
  </si>
  <si>
    <t>Dutch Harbor</t>
  </si>
  <si>
    <t>Same CommunityID as 'Unalaska' ({F020D8C7-7FD0-4AFE-85DC-43D1C0A0B5F0}); the two spellings form separate hub groups in aggregate_hubs (group key is the raw string).</t>
  </si>
  <si>
    <t>f000368</t>
  </si>
  <si>
    <t>{558BB9D2-4F54-4E1C-95C2-9295EBEAC1CD}</t>
  </si>
  <si>
    <t>f000895</t>
  </si>
  <si>
    <t>{8911BFBD-59A5-485A-86C4-7EA6C3180F66}</t>
  </si>
  <si>
    <t>f000505</t>
  </si>
  <si>
    <t>{60EDEA84-04E5-4ED4-912D-1CDA85E970A2}</t>
  </si>
  <si>
    <t>Exact point shared with facilities of ['Brevig Mission', 'Chevak', 'Nightmute', 'Stebbins', 'Toksook Bay']; the build merges the stack into ONE site labelled by the first CSV row (consolidate_facilities). Proposed = medoid of own-label sites.</t>
  </si>
  <si>
    <t>f000335</t>
  </si>
  <si>
    <t>{7D987B23-D133-42DE-B929-973C9C816886}</t>
  </si>
  <si>
    <t>f000653</t>
  </si>
  <si>
    <t>{405CC19C-36AB-4808-8AB1-CDE994AED352}</t>
  </si>
  <si>
    <t>61.53861,-160.3171</t>
  </si>
  <si>
    <t>Exact point shared with facilities of ['Aniak', 'Chuathbaluk', 'Lower Kalskag', 'Red Devil']; the build merges the stack into ONE site labelled by the first CSV row (consolidate_facilities). Proposed = medoid of own-label sites.</t>
  </si>
  <si>
    <t>f000532</t>
  </si>
  <si>
    <t>{F1376769-3624-43A5-9248-CADA5B67B566}</t>
  </si>
  <si>
    <t>f000836</t>
  </si>
  <si>
    <t>{A683A9D1-FB48-4678-8EFF-35498B21F2A5}</t>
  </si>
  <si>
    <t>f000941</t>
  </si>
  <si>
    <t>{52EA8B6C-5DEE-4586-9B19-043A22000B12}</t>
  </si>
  <si>
    <t>Wainwright</t>
  </si>
  <si>
    <t>70.12871985,-143.6220736</t>
  </si>
  <si>
    <t>70.63766,-160.03223</t>
  </si>
  <si>
    <t>f000804</t>
  </si>
  <si>
    <t>{509CF7C1-AE7E-4289-8EFE-3298B15AD90D}</t>
  </si>
  <si>
    <t>Wales</t>
  </si>
  <si>
    <t>65.60616,-168.08752</t>
  </si>
  <si>
    <t>Exact point shared with facilities of ['Holy Cross']; the build merges the stack into ONE site labelled by the first CSV row (consolidate_facilities). Proposed = medoid of own-label sites.</t>
  </si>
  <si>
    <t>f001717</t>
  </si>
  <si>
    <t>{3758A00D-FA89-45EA-85FB-DE30F19E5DBC}</t>
  </si>
  <si>
    <t>White Mountain</t>
  </si>
  <si>
    <t>63.51568716,-162.2855574</t>
  </si>
  <si>
    <t>64.68376,-163.41349</t>
  </si>
  <si>
    <t>Exact point shared with facilities of ['Stebbins']; the build merges the stack into ONE site labelled by the first CSV row (consolidate_facilities). Proposed = medoid of own-label sites.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</si>
</sst>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d/yy"/>
  </numFmts>
  <fonts count="8">
    <font>
      <sz val="11.0"/>
      <color theme="1"/>
      <name val="Calibri"/>
      <scheme val="minor"/>
    </font>
    <font>
      <b/>
      <sz val="10.0"/>
      <color theme="1"/>
      <name val="Arial"/>
    </font>
    <font>
      <b/>
      <sz val="10.0"/>
      <color rgb="FFFFFFFF"/>
      <name val="Arial"/>
    </font>
    <font>
      <sz val="10.0"/>
      <color theme="1"/>
      <name val="Arial"/>
    </font>
    <font>
      <u/>
      <sz val="10.0"/>
      <color rgb="FF0563C1"/>
      <name val="Arial"/>
    </font>
    <font>
      <color theme="1"/>
      <name val="Calibri"/>
      <scheme val="minor"/>
    </font>
    <font>
      <sz val="12.0"/>
      <color theme="1"/>
      <name val="&quot;Google Sans&quot;"/>
    </font>
    <font>
      <b/>
      <sz val="12.0"/>
      <color theme="1"/>
      <name val="&quot;Google Sans&quot;"/>
    </font>
  </fonts>
  <fills count="4">
    <fill>
      <patternFill patternType="none"/>
    </fill>
    <fill>
      <patternFill patternType="lightGray"/>
    </fill>
    <fill>
      <patternFill patternType="solid">
        <fgColor rgb="FF305496"/>
        <bgColor rgb="FF305496"/>
      </patternFill>
    </fill>
    <fill>
      <patternFill patternType="solid">
        <fgColor rgb="FFFFFF00"/>
        <bgColor rgb="FFFFFF00"/>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2" fontId="2" numFmtId="0" xfId="0" applyBorder="1" applyFill="1" applyFont="1"/>
    <xf borderId="0" fillId="0" fontId="3" numFmtId="0" xfId="0" applyAlignment="1" applyFont="1">
      <alignment vertical="top"/>
    </xf>
    <xf borderId="0" fillId="0" fontId="3" numFmtId="0" xfId="0" applyFont="1"/>
    <xf borderId="0" fillId="0" fontId="3" numFmtId="0" xfId="0" applyAlignment="1" applyFont="1">
      <alignment shrinkToFit="0" vertical="top" wrapText="1"/>
    </xf>
    <xf borderId="0" fillId="0" fontId="3" numFmtId="0" xfId="0" applyAlignment="1" applyFont="1">
      <alignment readingOrder="0"/>
    </xf>
    <xf borderId="0" fillId="0" fontId="4" numFmtId="0" xfId="0" applyFont="1"/>
    <xf borderId="2" fillId="3" fontId="3" numFmtId="0" xfId="0" applyAlignment="1" applyBorder="1" applyFill="1" applyFont="1">
      <alignment readingOrder="0"/>
    </xf>
    <xf borderId="2" fillId="3" fontId="3" numFmtId="0" xfId="0" applyAlignment="1" applyBorder="1" applyFill="1" applyFont="1">
      <alignment readingOrder="0" shrinkToFit="0" wrapText="1"/>
    </xf>
    <xf borderId="2" fillId="3" fontId="3" numFmtId="164" xfId="0" applyAlignment="1" applyBorder="1" applyFill="1" applyFont="1" applyNumberFormat="1">
      <alignment readingOrder="0"/>
    </xf>
    <xf borderId="2" fillId="3" fontId="3" numFmtId="0" xfId="0" applyBorder="1" applyFill="1" applyFont="1"/>
    <xf borderId="2" fillId="3" fontId="3" numFmtId="165" xfId="0" applyAlignment="1" applyBorder="1" applyFill="1" applyFont="1" applyNumberFormat="1">
      <alignment readingOrder="0"/>
    </xf>
    <xf borderId="0" fillId="0" fontId="5" numFmtId="0" xfId="0" applyAlignment="1" applyFont="1">
      <alignment shrinkToFit="0" wrapText="1"/>
    </xf>
    <xf borderId="2" fillId="3" fontId="3" numFmtId="166" xfId="0" applyAlignment="1" applyBorder="1" applyFill="1" applyFont="1" applyNumberFormat="1">
      <alignment readingOrder="0"/>
    </xf>
    <xf borderId="2" fillId="3" fontId="3" numFmtId="0" xfId="0" applyAlignment="1" applyBorder="1" applyFill="1" applyFont="1">
      <alignment shrinkToFit="0" wrapText="1"/>
    </xf>
    <xf borderId="0" fillId="3" fontId="6" numFmtId="0" xfId="0" applyAlignment="1" applyFill="1" applyFont="1">
      <alignment readingOrder="0" shrinkToFit="0" wrapText="1"/>
    </xf>
    <xf borderId="0" fillId="3" fontId="7" numFmtId="0" xfId="0" applyAlignment="1" applyFill="1" applyFont="1">
      <alignment readingOrder="0"/>
    </xf>
    <xf borderId="0" fillId="3"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9.43"/>
    <col customWidth="1" min="2" max="26" width="8.71"/>
  </cols>
  <sheetData>
    <row r="1">
      <c r="A1" s="1" t="s">
        <v>0</v>
      </c>
    </row>
    <row r="2">
      <c r="A2" s="5"/>
    </row>
    <row r="3">
      <c r="A3" s="7" t="s">
        <v>43</v>
      </c>
    </row>
    <row r="4">
      <c r="A4" s="5" t="s">
        <v>44</v>
      </c>
    </row>
    <row r="5">
      <c r="A5" s="5"/>
    </row>
    <row r="6">
      <c r="A6" s="1" t="s">
        <v>45</v>
      </c>
    </row>
    <row r="7">
      <c r="A7" s="5" t="s">
        <v>46</v>
      </c>
    </row>
    <row r="8">
      <c r="A8" s="5" t="s">
        <v>47</v>
      </c>
    </row>
    <row r="9">
      <c r="A9" s="5" t="s">
        <v>48</v>
      </c>
    </row>
    <row r="10">
      <c r="A10" s="5" t="s">
        <v>49</v>
      </c>
    </row>
    <row r="11">
      <c r="A11" s="5"/>
    </row>
    <row r="12">
      <c r="A12" s="5" t="s">
        <v>51</v>
      </c>
    </row>
    <row r="13">
      <c r="A13" s="5"/>
    </row>
    <row r="14">
      <c r="A14" s="1" t="s">
        <v>55</v>
      </c>
    </row>
    <row r="15">
      <c r="A15" s="5" t="s">
        <v>56</v>
      </c>
    </row>
    <row r="16">
      <c r="A16" s="5" t="s">
        <v>59</v>
      </c>
    </row>
    <row r="17">
      <c r="A17" s="5" t="s">
        <v>61</v>
      </c>
    </row>
    <row r="18">
      <c r="A18" s="5"/>
    </row>
    <row r="19">
      <c r="A19" s="5" t="s">
        <v>63</v>
      </c>
    </row>
    <row r="20">
      <c r="A20" s="5" t="s">
        <v>64</v>
      </c>
    </row>
    <row r="21" ht="15.75" customHeight="1">
      <c r="A21" s="5" t="s">
        <v>65</v>
      </c>
    </row>
    <row r="22" ht="15.75" customHeight="1">
      <c r="A22" s="5" t="s">
        <v>67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22.0"/>
    <col customWidth="1" min="9" max="26" width="8.71"/>
  </cols>
  <sheetData>
    <row r="1">
      <c r="A1" s="3" t="s">
        <v>1</v>
      </c>
      <c r="B1" s="3" t="s">
        <v>18</v>
      </c>
      <c r="C1" s="3" t="s">
        <v>20</v>
      </c>
      <c r="D1" s="3" t="s">
        <v>22</v>
      </c>
      <c r="E1" s="3" t="s">
        <v>24</v>
      </c>
      <c r="F1" s="3" t="s">
        <v>27</v>
      </c>
      <c r="G1" s="3" t="s">
        <v>30</v>
      </c>
      <c r="H1" s="3" t="s">
        <v>32</v>
      </c>
    </row>
    <row r="2">
      <c r="A2" s="5" t="s">
        <v>34</v>
      </c>
      <c r="B2" s="5">
        <f>COUNTA('1 Coordinate typos'!A2:A5)</f>
        <v>4</v>
      </c>
      <c r="C2" s="5">
        <f>COUNTIF('1 Coordinate typos'!T2:T5,"approve")</f>
        <v>4</v>
      </c>
      <c r="D2" s="5">
        <f>COUNTIF('1 Coordinate typos'!T2:T5,"approve with my value")</f>
        <v>0</v>
      </c>
      <c r="E2" s="5">
        <f>COUNTIF('1 Coordinate typos'!T2:T5,"reject")</f>
        <v>0</v>
      </c>
      <c r="F2" s="5">
        <f>COUNTIF('1 Coordinate typos'!T2:T5,"ask AEA")</f>
        <v>0</v>
      </c>
      <c r="G2" s="5">
        <f>COUNTIF('1 Coordinate typos'!T2:T5,"skip for now")</f>
        <v>0</v>
      </c>
      <c r="H2" s="5">
        <f t="shared" ref="H2:H8" si="1">B2-SUM(C2:G2)</f>
        <v>0</v>
      </c>
    </row>
    <row r="3">
      <c r="A3" s="5" t="s">
        <v>91</v>
      </c>
      <c r="B3" s="5">
        <f>COUNTA('2 Possible typos'!A2:A5)</f>
        <v>4</v>
      </c>
      <c r="C3" s="5">
        <f>COUNTIF('2 Possible typos'!T2:T5,"approve")</f>
        <v>0</v>
      </c>
      <c r="D3" s="5">
        <f>COUNTIF('2 Possible typos'!T2:T5,"approve with my value")</f>
        <v>0</v>
      </c>
      <c r="E3" s="5">
        <f>COUNTIF('2 Possible typos'!T2:T5,"reject")</f>
        <v>4</v>
      </c>
      <c r="F3" s="5">
        <f>COUNTIF('2 Possible typos'!T2:T5,"ask AEA")</f>
        <v>0</v>
      </c>
      <c r="G3" s="5">
        <f>COUNTIF('2 Possible typos'!T2:T5,"skip for now")</f>
        <v>0</v>
      </c>
      <c r="H3" s="5">
        <f t="shared" si="1"/>
        <v>0</v>
      </c>
    </row>
    <row r="4">
      <c r="A4" s="5" t="s">
        <v>115</v>
      </c>
      <c r="B4" s="5">
        <f>COUNTA('3 Swapped coords'!A2:A3)</f>
        <v>2</v>
      </c>
      <c r="C4" s="5">
        <f>COUNTIF('3 Swapped coords'!T2:T3,"approve")</f>
        <v>2</v>
      </c>
      <c r="D4" s="5">
        <f>COUNTIF('3 Swapped coords'!T2:T3,"approve with my value")</f>
        <v>0</v>
      </c>
      <c r="E4" s="5">
        <f>COUNTIF('3 Swapped coords'!T2:T3,"reject")</f>
        <v>0</v>
      </c>
      <c r="F4" s="5">
        <f>COUNTIF('3 Swapped coords'!T2:T3,"ask AEA")</f>
        <v>0</v>
      </c>
      <c r="G4" s="5">
        <f>COUNTIF('3 Swapped coords'!T2:T3,"skip for now")</f>
        <v>0</v>
      </c>
      <c r="H4" s="5">
        <f t="shared" si="1"/>
        <v>0</v>
      </c>
    </row>
    <row r="5">
      <c r="A5" s="5" t="s">
        <v>116</v>
      </c>
      <c r="B5" s="5">
        <f>COUNTA('4 Wrong label'!A2:A10)</f>
        <v>9</v>
      </c>
      <c r="C5" s="5">
        <f>COUNTIF('4 Wrong label'!T2:T10,"approve")</f>
        <v>5</v>
      </c>
      <c r="D5" s="5">
        <f>COUNTIF('4 Wrong label'!T2:T10,"approve with my value")</f>
        <v>0</v>
      </c>
      <c r="E5" s="5">
        <f>COUNTIF('4 Wrong label'!T2:T10,"reject")</f>
        <v>1</v>
      </c>
      <c r="F5" s="5">
        <f>COUNTIF('4 Wrong label'!T2:T10,"ask AEA")</f>
        <v>0</v>
      </c>
      <c r="G5" s="5">
        <f>COUNTIF('4 Wrong label'!T2:T10,"skip for now")</f>
        <v>0</v>
      </c>
      <c r="H5" s="5">
        <f t="shared" si="1"/>
        <v>3</v>
      </c>
    </row>
    <row r="6">
      <c r="A6" s="5" t="s">
        <v>117</v>
      </c>
      <c r="B6" s="5">
        <f>COUNTA('5 Copied coords'!A2:A5)</f>
        <v>4</v>
      </c>
      <c r="C6" s="5">
        <f>COUNTIF('5 Copied coords'!T2:T5,"approve")</f>
        <v>0</v>
      </c>
      <c r="D6" s="5">
        <f>COUNTIF('5 Copied coords'!T2:T5,"approve with my value")</f>
        <v>2</v>
      </c>
      <c r="E6" s="5">
        <f>COUNTIF('5 Copied coords'!T2:T5,"reject")</f>
        <v>1</v>
      </c>
      <c r="F6" s="5">
        <f>COUNTIF('5 Copied coords'!T2:T5,"ask AEA")</f>
        <v>0</v>
      </c>
      <c r="G6" s="5">
        <f>COUNTIF('5 Copied coords'!T2:T5,"skip for now")</f>
        <v>0</v>
      </c>
      <c r="H6" s="5">
        <f t="shared" si="1"/>
        <v>1</v>
      </c>
    </row>
    <row r="7">
      <c r="A7" s="5" t="s">
        <v>126</v>
      </c>
      <c r="B7" s="5">
        <f>COUNTA('6 Shared-point stacks'!A2:A52)</f>
        <v>51</v>
      </c>
      <c r="C7" s="5">
        <f>COUNTIF('6 Shared-point stacks'!T2:T52,"approve")</f>
        <v>0</v>
      </c>
      <c r="D7" s="5">
        <f>COUNTIF('6 Shared-point stacks'!T2:T52,"approve with my value")</f>
        <v>0</v>
      </c>
      <c r="E7" s="5">
        <f>COUNTIF('6 Shared-point stacks'!T2:T52,"reject")</f>
        <v>0</v>
      </c>
      <c r="F7" s="5">
        <f>COUNTIF('6 Shared-point stacks'!T2:T52,"ask AEA")</f>
        <v>0</v>
      </c>
      <c r="G7" s="5">
        <f>COUNTIF('6 Shared-point stacks'!T2:T52,"skip for now")</f>
        <v>0</v>
      </c>
      <c r="H7" s="5">
        <f t="shared" si="1"/>
        <v>51</v>
      </c>
    </row>
    <row r="8">
      <c r="A8" s="5" t="s">
        <v>132</v>
      </c>
      <c r="B8" s="5">
        <f>COUNTA('7 Spelling variants'!A2:A31)</f>
        <v>30</v>
      </c>
      <c r="C8" s="5">
        <f>COUNTIF('7 Spelling variants'!T2:T31,"approve")</f>
        <v>30</v>
      </c>
      <c r="D8" s="5">
        <f>COUNTIF('7 Spelling variants'!T2:T31,"approve with my value")</f>
        <v>0</v>
      </c>
      <c r="E8" s="5">
        <f>COUNTIF('7 Spelling variants'!T2:T31,"reject")</f>
        <v>0</v>
      </c>
      <c r="F8" s="5">
        <f>COUNTIF('7 Spelling variants'!T2:T31,"ask AEA")</f>
        <v>0</v>
      </c>
      <c r="G8" s="5">
        <f>COUNTIF('7 Spelling variants'!T2:T31,"skip for now")</f>
        <v>0</v>
      </c>
      <c r="H8" s="5">
        <f t="shared" si="1"/>
        <v>0</v>
      </c>
    </row>
    <row r="9">
      <c r="A9" s="1" t="s">
        <v>133</v>
      </c>
      <c r="B9" s="1">
        <f t="shared" ref="B9:H9" si="2">SUM(B2:B8)</f>
        <v>104</v>
      </c>
      <c r="C9" s="1">
        <f t="shared" si="2"/>
        <v>41</v>
      </c>
      <c r="D9" s="1">
        <f t="shared" si="2"/>
        <v>2</v>
      </c>
      <c r="E9" s="1">
        <f t="shared" si="2"/>
        <v>6</v>
      </c>
      <c r="F9" s="1">
        <f t="shared" si="2"/>
        <v>0</v>
      </c>
      <c r="G9" s="1">
        <f t="shared" si="2"/>
        <v>0</v>
      </c>
      <c r="H9" s="1">
        <f t="shared" si="2"/>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7" width="14.0"/>
    <col customWidth="1" min="8" max="8" width="16.57"/>
    <col customWidth="1" min="9" max="10" width="14.0"/>
    <col customWidth="1" min="11" max="12" width="22.0"/>
    <col customWidth="1" min="13" max="13" width="14.0"/>
    <col customWidth="1" min="14" max="14" width="70.0"/>
    <col customWidth="1" min="15" max="15" width="26.0"/>
    <col customWidth="1" min="16" max="20" width="14.0"/>
    <col customWidth="1" min="21" max="21" width="22.0"/>
    <col customWidth="1" min="22" max="22" width="41.14"/>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50</v>
      </c>
      <c r="B2" s="4">
        <v>239.0</v>
      </c>
      <c r="C2" s="4">
        <v>1011.0</v>
      </c>
      <c r="D2" s="4" t="s">
        <v>52</v>
      </c>
      <c r="E2" s="4" t="s">
        <v>53</v>
      </c>
      <c r="F2" s="4" t="s">
        <v>54</v>
      </c>
      <c r="G2" s="4">
        <v>54.853056</v>
      </c>
      <c r="H2" s="4">
        <v>-152.39288</v>
      </c>
      <c r="I2" s="4">
        <v>57.79468</v>
      </c>
      <c r="J2" s="4">
        <v>-152.39288</v>
      </c>
      <c r="K2" s="4" t="s">
        <v>57</v>
      </c>
      <c r="L2" s="4" t="s">
        <v>58</v>
      </c>
      <c r="M2" s="4" t="s">
        <v>60</v>
      </c>
      <c r="N2" s="6" t="s">
        <v>62</v>
      </c>
      <c r="O2" s="4" t="s">
        <v>42</v>
      </c>
      <c r="P2" s="4">
        <v>57.79468</v>
      </c>
      <c r="Q2" s="4">
        <v>-152.39288</v>
      </c>
      <c r="R2" s="8" t="str">
        <f>HYPERLINK("https://www.google.com/maps?q=54.853056,-152.392880","map: stored")</f>
        <v>map: stored</v>
      </c>
      <c r="S2" s="8" t="str">
        <f>HYPERLINK("https://www.google.com/maps?q=57.794680,-152.392880","map: proposed")</f>
        <v>map: proposed</v>
      </c>
      <c r="T2" s="9" t="s">
        <v>20</v>
      </c>
      <c r="U2" s="12"/>
      <c r="V2" s="10" t="s">
        <v>77</v>
      </c>
      <c r="W2" s="9" t="s">
        <v>69</v>
      </c>
      <c r="X2" s="13">
        <v>46300.0</v>
      </c>
    </row>
    <row r="3">
      <c r="A3" s="4" t="s">
        <v>78</v>
      </c>
      <c r="B3" s="4">
        <v>772.0</v>
      </c>
      <c r="C3" s="4">
        <v>457.0</v>
      </c>
      <c r="D3" s="4" t="s">
        <v>79</v>
      </c>
      <c r="E3" s="4" t="s">
        <v>80</v>
      </c>
      <c r="F3" s="4" t="s">
        <v>82</v>
      </c>
      <c r="G3" s="4">
        <v>67.252778</v>
      </c>
      <c r="H3" s="4">
        <v>-131.699722</v>
      </c>
      <c r="I3" s="4">
        <v>67.27808</v>
      </c>
      <c r="J3" s="4">
        <v>-150.26877</v>
      </c>
      <c r="K3" s="4" t="s">
        <v>85</v>
      </c>
      <c r="L3" s="4" t="s">
        <v>88</v>
      </c>
      <c r="M3" s="4" t="s">
        <v>60</v>
      </c>
      <c r="N3" s="6" t="s">
        <v>90</v>
      </c>
      <c r="O3" s="4" t="s">
        <v>42</v>
      </c>
      <c r="P3" s="4">
        <v>67.27808</v>
      </c>
      <c r="Q3" s="4">
        <v>-150.2688</v>
      </c>
      <c r="R3" s="8" t="str">
        <f>HYPERLINK("https://www.google.com/maps?q=67.252778,-131.699722","map: stored")</f>
        <v>map: stored</v>
      </c>
      <c r="S3" s="8" t="str">
        <f>HYPERLINK("https://www.google.com/maps?q=67.278080,-150.268770","map: proposed")</f>
        <v>map: proposed</v>
      </c>
      <c r="T3" s="9" t="s">
        <v>20</v>
      </c>
      <c r="U3" s="12"/>
      <c r="V3" s="10" t="s">
        <v>99</v>
      </c>
      <c r="W3" s="9" t="s">
        <v>69</v>
      </c>
      <c r="X3" s="13">
        <v>46301.0</v>
      </c>
    </row>
    <row r="4">
      <c r="A4" s="4" t="s">
        <v>100</v>
      </c>
      <c r="B4" s="4">
        <v>600.0</v>
      </c>
      <c r="C4" s="4">
        <v>313.0</v>
      </c>
      <c r="D4" s="4" t="s">
        <v>101</v>
      </c>
      <c r="E4" s="4" t="s">
        <v>102</v>
      </c>
      <c r="F4" s="4" t="s">
        <v>54</v>
      </c>
      <c r="G4" s="4">
        <v>67.79558</v>
      </c>
      <c r="H4" s="4">
        <v>-161.7611</v>
      </c>
      <c r="I4" s="4">
        <v>60.79558</v>
      </c>
      <c r="J4" s="4">
        <v>-161.7611</v>
      </c>
      <c r="K4" s="4" t="s">
        <v>103</v>
      </c>
      <c r="L4" s="4" t="s">
        <v>104</v>
      </c>
      <c r="M4" s="4" t="s">
        <v>60</v>
      </c>
      <c r="N4" s="6" t="s">
        <v>105</v>
      </c>
      <c r="O4" s="4" t="s">
        <v>42</v>
      </c>
      <c r="P4" s="4">
        <v>67.79572</v>
      </c>
      <c r="Q4" s="4">
        <v>-161.76111</v>
      </c>
      <c r="R4" s="8" t="str">
        <f>HYPERLINK("https://www.google.com/maps?q=67.795580,-161.761100","map: stored")</f>
        <v>map: stored</v>
      </c>
      <c r="S4" s="8" t="str">
        <f>HYPERLINK("https://www.google.com/maps?q=60.795580,-161.761100","map: proposed")</f>
        <v>map: proposed</v>
      </c>
      <c r="T4" s="9" t="s">
        <v>20</v>
      </c>
      <c r="U4" s="12"/>
      <c r="V4" s="10" t="s">
        <v>107</v>
      </c>
      <c r="W4" s="9" t="s">
        <v>69</v>
      </c>
      <c r="X4" s="13">
        <v>46302.0</v>
      </c>
    </row>
    <row r="5">
      <c r="A5" s="4" t="s">
        <v>108</v>
      </c>
      <c r="B5" s="4">
        <v>407.0</v>
      </c>
      <c r="C5" s="4">
        <v>1206.0</v>
      </c>
      <c r="D5" s="4" t="s">
        <v>109</v>
      </c>
      <c r="E5" s="4" t="s">
        <v>110</v>
      </c>
      <c r="F5" s="4" t="s">
        <v>37</v>
      </c>
      <c r="G5" s="4">
        <v>59.4571</v>
      </c>
      <c r="H5" s="4">
        <v>-159.3748</v>
      </c>
      <c r="I5" s="4">
        <v>59.4571</v>
      </c>
      <c r="J5" s="4">
        <v>-157.3748</v>
      </c>
      <c r="K5" s="4" t="s">
        <v>111</v>
      </c>
      <c r="L5" s="4" t="s">
        <v>112</v>
      </c>
      <c r="M5" s="4" t="s">
        <v>60</v>
      </c>
      <c r="N5" s="6" t="s">
        <v>113</v>
      </c>
      <c r="O5" s="4" t="s">
        <v>42</v>
      </c>
      <c r="P5" s="4">
        <v>59.45709</v>
      </c>
      <c r="Q5" s="4">
        <v>-159.37482</v>
      </c>
      <c r="R5" s="8" t="str">
        <f>HYPERLINK("https://www.google.com/maps?q=59.457100,-159.374800","map: stored")</f>
        <v>map: stored</v>
      </c>
      <c r="S5" s="8" t="str">
        <f>HYPERLINK("https://www.google.com/maps?q=59.457100,-157.374800","map: proposed")</f>
        <v>map: proposed</v>
      </c>
      <c r="T5" s="9" t="s">
        <v>20</v>
      </c>
      <c r="U5" s="12"/>
      <c r="V5" s="10" t="s">
        <v>114</v>
      </c>
      <c r="W5" s="9" t="s">
        <v>69</v>
      </c>
      <c r="X5" s="13">
        <v>46303.0</v>
      </c>
    </row>
    <row r="6">
      <c r="V6" s="14"/>
    </row>
    <row r="7">
      <c r="V7" s="14"/>
    </row>
    <row r="8">
      <c r="V8" s="14"/>
    </row>
    <row r="9">
      <c r="V9" s="14"/>
    </row>
    <row r="10">
      <c r="V10" s="14"/>
    </row>
    <row r="11">
      <c r="V11" s="14"/>
    </row>
    <row r="12">
      <c r="V12" s="14"/>
    </row>
    <row r="13">
      <c r="V13" s="14"/>
    </row>
    <row r="14">
      <c r="V14" s="14"/>
    </row>
    <row r="15">
      <c r="V15" s="14"/>
    </row>
    <row r="16">
      <c r="V16" s="14"/>
    </row>
    <row r="17">
      <c r="V17" s="14"/>
    </row>
    <row r="18">
      <c r="V18" s="14"/>
    </row>
    <row r="19">
      <c r="V19" s="14"/>
    </row>
    <row r="20">
      <c r="V20" s="14"/>
    </row>
    <row r="21" ht="15.75" customHeight="1">
      <c r="V21" s="14"/>
    </row>
    <row r="22" ht="15.75" customHeight="1">
      <c r="V22" s="14"/>
    </row>
    <row r="23" ht="15.75" customHeight="1">
      <c r="V23" s="14"/>
    </row>
    <row r="24" ht="15.75" customHeight="1">
      <c r="V24" s="14"/>
    </row>
    <row r="25" ht="15.75" customHeight="1">
      <c r="V25" s="14"/>
    </row>
    <row r="26" ht="15.75" customHeight="1">
      <c r="V26" s="14"/>
    </row>
    <row r="27" ht="15.75" customHeight="1">
      <c r="V27" s="14"/>
    </row>
    <row r="28" ht="15.75" customHeight="1">
      <c r="V28" s="14"/>
    </row>
    <row r="29" ht="15.75" customHeight="1">
      <c r="V29" s="14"/>
    </row>
    <row r="30" ht="15.75" customHeight="1">
      <c r="V30" s="14"/>
    </row>
    <row r="31" ht="15.75" customHeight="1">
      <c r="V31" s="14"/>
    </row>
    <row r="32" ht="15.75" customHeight="1">
      <c r="V32" s="14"/>
    </row>
    <row r="33" ht="15.75" customHeight="1">
      <c r="V33" s="14"/>
    </row>
    <row r="34" ht="15.75" customHeight="1">
      <c r="V34" s="14"/>
    </row>
    <row r="35" ht="15.75" customHeight="1">
      <c r="V35" s="14"/>
    </row>
    <row r="36" ht="15.75" customHeight="1">
      <c r="V36" s="14"/>
    </row>
    <row r="37" ht="15.75" customHeight="1">
      <c r="V37" s="14"/>
    </row>
    <row r="38" ht="15.75" customHeight="1">
      <c r="V38" s="14"/>
    </row>
    <row r="39" ht="15.75" customHeight="1">
      <c r="V39" s="14"/>
    </row>
    <row r="40" ht="15.75" customHeight="1">
      <c r="V40" s="14"/>
    </row>
    <row r="41" ht="15.75" customHeight="1">
      <c r="V41" s="14"/>
    </row>
    <row r="42" ht="15.75" customHeight="1">
      <c r="V42" s="14"/>
    </row>
    <row r="43" ht="15.75" customHeight="1">
      <c r="V43" s="14"/>
    </row>
    <row r="44" ht="15.75" customHeight="1">
      <c r="V44" s="14"/>
    </row>
    <row r="45" ht="15.75" customHeight="1">
      <c r="V45" s="14"/>
    </row>
    <row r="46" ht="15.75" customHeight="1">
      <c r="V46" s="14"/>
    </row>
    <row r="47" ht="15.75" customHeight="1">
      <c r="V47" s="14"/>
    </row>
    <row r="48" ht="15.75" customHeight="1">
      <c r="V48" s="14"/>
    </row>
    <row r="49" ht="15.75" customHeight="1">
      <c r="V49" s="14"/>
    </row>
    <row r="50" ht="15.75" customHeight="1">
      <c r="V50" s="14"/>
    </row>
    <row r="51" ht="15.75" customHeight="1">
      <c r="V51" s="14"/>
    </row>
    <row r="52" ht="15.75" customHeight="1">
      <c r="V52" s="14"/>
    </row>
    <row r="53" ht="15.75" customHeight="1">
      <c r="V53" s="14"/>
    </row>
    <row r="54" ht="15.75" customHeight="1">
      <c r="V54" s="14"/>
    </row>
    <row r="55" ht="15.75" customHeight="1">
      <c r="V55" s="14"/>
    </row>
    <row r="56" ht="15.75" customHeight="1">
      <c r="V56" s="14"/>
    </row>
    <row r="57" ht="15.75" customHeight="1">
      <c r="V57" s="14"/>
    </row>
    <row r="58" ht="15.75" customHeight="1">
      <c r="V58" s="14"/>
    </row>
    <row r="59" ht="15.75" customHeight="1">
      <c r="V59" s="14"/>
    </row>
    <row r="60" ht="15.75" customHeight="1">
      <c r="V60" s="14"/>
    </row>
    <row r="61" ht="15.75" customHeight="1">
      <c r="V61" s="14"/>
    </row>
    <row r="62" ht="15.75" customHeight="1">
      <c r="V62" s="14"/>
    </row>
    <row r="63" ht="15.75" customHeight="1">
      <c r="V63" s="14"/>
    </row>
    <row r="64" ht="15.75" customHeight="1">
      <c r="V64" s="14"/>
    </row>
    <row r="65" ht="15.75" customHeight="1">
      <c r="V65" s="14"/>
    </row>
    <row r="66" ht="15.75" customHeight="1">
      <c r="V66" s="14"/>
    </row>
    <row r="67" ht="15.75" customHeight="1">
      <c r="V67" s="14"/>
    </row>
    <row r="68" ht="15.75" customHeight="1">
      <c r="V68" s="14"/>
    </row>
    <row r="69" ht="15.75" customHeight="1">
      <c r="V69" s="14"/>
    </row>
    <row r="70" ht="15.75" customHeight="1">
      <c r="V70" s="14"/>
    </row>
    <row r="71" ht="15.75" customHeight="1">
      <c r="V71" s="14"/>
    </row>
    <row r="72" ht="15.75" customHeight="1">
      <c r="V72" s="14"/>
    </row>
    <row r="73" ht="15.75" customHeight="1">
      <c r="V73" s="14"/>
    </row>
    <row r="74" ht="15.75" customHeight="1">
      <c r="V74" s="14"/>
    </row>
    <row r="75" ht="15.75" customHeight="1">
      <c r="V75" s="14"/>
    </row>
    <row r="76" ht="15.75" customHeight="1">
      <c r="V76" s="14"/>
    </row>
    <row r="77" ht="15.75" customHeight="1">
      <c r="V77" s="14"/>
    </row>
    <row r="78" ht="15.75" customHeight="1">
      <c r="V78" s="14"/>
    </row>
    <row r="79" ht="15.75" customHeight="1">
      <c r="V79" s="14"/>
    </row>
    <row r="80" ht="15.75" customHeight="1">
      <c r="V80" s="14"/>
    </row>
    <row r="81" ht="15.75" customHeight="1">
      <c r="V81" s="14"/>
    </row>
    <row r="82" ht="15.75" customHeight="1">
      <c r="V82" s="14"/>
    </row>
    <row r="83" ht="15.75" customHeight="1">
      <c r="V83" s="14"/>
    </row>
    <row r="84" ht="15.75" customHeight="1">
      <c r="V84" s="14"/>
    </row>
    <row r="85" ht="15.75" customHeight="1">
      <c r="V85" s="14"/>
    </row>
    <row r="86" ht="15.75" customHeight="1">
      <c r="V86" s="14"/>
    </row>
    <row r="87" ht="15.75" customHeight="1">
      <c r="V87" s="14"/>
    </row>
    <row r="88" ht="15.75" customHeight="1">
      <c r="V88" s="14"/>
    </row>
    <row r="89" ht="15.75" customHeight="1">
      <c r="V89" s="14"/>
    </row>
    <row r="90" ht="15.75" customHeight="1">
      <c r="V90" s="14"/>
    </row>
    <row r="91" ht="15.75" customHeight="1">
      <c r="V91" s="14"/>
    </row>
    <row r="92" ht="15.75" customHeight="1">
      <c r="V92" s="14"/>
    </row>
    <row r="93" ht="15.75" customHeight="1">
      <c r="V93" s="14"/>
    </row>
    <row r="94" ht="15.75" customHeight="1">
      <c r="V94" s="14"/>
    </row>
    <row r="95" ht="15.75" customHeight="1">
      <c r="V95" s="14"/>
    </row>
    <row r="96" ht="15.75" customHeight="1">
      <c r="V96" s="14"/>
    </row>
    <row r="97" ht="15.75" customHeight="1">
      <c r="V97" s="14"/>
    </row>
    <row r="98" ht="15.75" customHeight="1">
      <c r="V98" s="14"/>
    </row>
    <row r="99" ht="15.75" customHeight="1">
      <c r="V99" s="14"/>
    </row>
    <row r="100" ht="15.75" customHeight="1">
      <c r="V100" s="14"/>
    </row>
    <row r="101" ht="15.75" customHeight="1">
      <c r="V101" s="14"/>
    </row>
    <row r="102" ht="15.75" customHeight="1">
      <c r="V102" s="14"/>
    </row>
    <row r="103" ht="15.75" customHeight="1">
      <c r="V103" s="14"/>
    </row>
    <row r="104" ht="15.75" customHeight="1">
      <c r="V104" s="14"/>
    </row>
    <row r="105" ht="15.75" customHeight="1">
      <c r="V105" s="14"/>
    </row>
    <row r="106" ht="15.75" customHeight="1">
      <c r="V106" s="14"/>
    </row>
    <row r="107" ht="15.75" customHeight="1">
      <c r="V107" s="14"/>
    </row>
    <row r="108" ht="15.75" customHeight="1">
      <c r="V108" s="14"/>
    </row>
    <row r="109" ht="15.75" customHeight="1">
      <c r="V109" s="14"/>
    </row>
    <row r="110" ht="15.75" customHeight="1">
      <c r="V110" s="14"/>
    </row>
    <row r="111" ht="15.75" customHeight="1">
      <c r="V111" s="14"/>
    </row>
    <row r="112" ht="15.75" customHeight="1">
      <c r="V112" s="14"/>
    </row>
    <row r="113" ht="15.75" customHeight="1">
      <c r="V113" s="14"/>
    </row>
    <row r="114" ht="15.75" customHeight="1">
      <c r="V114" s="14"/>
    </row>
    <row r="115" ht="15.75" customHeight="1">
      <c r="V115" s="14"/>
    </row>
    <row r="116" ht="15.75" customHeight="1">
      <c r="V116" s="14"/>
    </row>
    <row r="117" ht="15.75" customHeight="1">
      <c r="V117" s="14"/>
    </row>
    <row r="118" ht="15.75" customHeight="1">
      <c r="V118" s="14"/>
    </row>
    <row r="119" ht="15.75" customHeight="1">
      <c r="V119" s="14"/>
    </row>
    <row r="120" ht="15.75" customHeight="1">
      <c r="V120" s="14"/>
    </row>
    <row r="121" ht="15.75" customHeight="1">
      <c r="V121" s="14"/>
    </row>
    <row r="122" ht="15.75" customHeight="1">
      <c r="V122" s="14"/>
    </row>
    <row r="123" ht="15.75" customHeight="1">
      <c r="V123" s="14"/>
    </row>
    <row r="124" ht="15.75" customHeight="1">
      <c r="V124" s="14"/>
    </row>
    <row r="125" ht="15.75" customHeight="1">
      <c r="V125" s="14"/>
    </row>
    <row r="126" ht="15.75" customHeight="1">
      <c r="V126" s="14"/>
    </row>
    <row r="127" ht="15.75" customHeight="1">
      <c r="V127" s="14"/>
    </row>
    <row r="128" ht="15.75" customHeight="1">
      <c r="V128" s="14"/>
    </row>
    <row r="129" ht="15.75" customHeight="1">
      <c r="V129" s="14"/>
    </row>
    <row r="130" ht="15.75" customHeight="1">
      <c r="V130" s="14"/>
    </row>
    <row r="131" ht="15.75" customHeight="1">
      <c r="V131" s="14"/>
    </row>
    <row r="132" ht="15.75" customHeight="1">
      <c r="V132" s="14"/>
    </row>
    <row r="133" ht="15.75" customHeight="1">
      <c r="V133" s="14"/>
    </row>
    <row r="134" ht="15.75" customHeight="1">
      <c r="V134" s="14"/>
    </row>
    <row r="135" ht="15.75" customHeight="1">
      <c r="V135" s="14"/>
    </row>
    <row r="136" ht="15.75" customHeight="1">
      <c r="V136" s="14"/>
    </row>
    <row r="137" ht="15.75" customHeight="1">
      <c r="V137" s="14"/>
    </row>
    <row r="138" ht="15.75" customHeight="1">
      <c r="V138" s="14"/>
    </row>
    <row r="139" ht="15.75" customHeight="1">
      <c r="V139" s="14"/>
    </row>
    <row r="140" ht="15.75" customHeight="1">
      <c r="V140" s="14"/>
    </row>
    <row r="141" ht="15.75" customHeight="1">
      <c r="V141" s="14"/>
    </row>
    <row r="142" ht="15.75" customHeight="1">
      <c r="V142" s="14"/>
    </row>
    <row r="143" ht="15.75" customHeight="1">
      <c r="V143" s="14"/>
    </row>
    <row r="144" ht="15.75" customHeight="1">
      <c r="V144" s="14"/>
    </row>
    <row r="145" ht="15.75" customHeight="1">
      <c r="V145" s="14"/>
    </row>
    <row r="146" ht="15.75" customHeight="1">
      <c r="V146" s="14"/>
    </row>
    <row r="147" ht="15.75" customHeight="1">
      <c r="V147" s="14"/>
    </row>
    <row r="148" ht="15.75" customHeight="1">
      <c r="V148" s="14"/>
    </row>
    <row r="149" ht="15.75" customHeight="1">
      <c r="V149" s="14"/>
    </row>
    <row r="150" ht="15.75" customHeight="1">
      <c r="V150" s="14"/>
    </row>
    <row r="151" ht="15.75" customHeight="1">
      <c r="V151" s="14"/>
    </row>
    <row r="152" ht="15.75" customHeight="1">
      <c r="V152" s="14"/>
    </row>
    <row r="153" ht="15.75" customHeight="1">
      <c r="V153" s="14"/>
    </row>
    <row r="154" ht="15.75" customHeight="1">
      <c r="V154" s="14"/>
    </row>
    <row r="155" ht="15.75" customHeight="1">
      <c r="V155" s="14"/>
    </row>
    <row r="156" ht="15.75" customHeight="1">
      <c r="V156" s="14"/>
    </row>
    <row r="157" ht="15.75" customHeight="1">
      <c r="V157" s="14"/>
    </row>
    <row r="158" ht="15.75" customHeight="1">
      <c r="V158" s="14"/>
    </row>
    <row r="159" ht="15.75" customHeight="1">
      <c r="V159" s="14"/>
    </row>
    <row r="160" ht="15.75" customHeight="1">
      <c r="V160" s="14"/>
    </row>
    <row r="161" ht="15.75" customHeight="1">
      <c r="V161" s="14"/>
    </row>
    <row r="162" ht="15.75" customHeight="1">
      <c r="V162" s="14"/>
    </row>
    <row r="163" ht="15.75" customHeight="1">
      <c r="V163" s="14"/>
    </row>
    <row r="164" ht="15.75" customHeight="1">
      <c r="V164" s="14"/>
    </row>
    <row r="165" ht="15.75" customHeight="1">
      <c r="V165" s="14"/>
    </row>
    <row r="166" ht="15.75" customHeight="1">
      <c r="V166" s="14"/>
    </row>
    <row r="167" ht="15.75" customHeight="1">
      <c r="V167" s="14"/>
    </row>
    <row r="168" ht="15.75" customHeight="1">
      <c r="V168" s="14"/>
    </row>
    <row r="169" ht="15.75" customHeight="1">
      <c r="V169" s="14"/>
    </row>
    <row r="170" ht="15.75" customHeight="1">
      <c r="V170" s="14"/>
    </row>
    <row r="171" ht="15.75" customHeight="1">
      <c r="V171" s="14"/>
    </row>
    <row r="172" ht="15.75" customHeight="1">
      <c r="V172" s="14"/>
    </row>
    <row r="173" ht="15.75" customHeight="1">
      <c r="V173" s="14"/>
    </row>
    <row r="174" ht="15.75" customHeight="1">
      <c r="V174" s="14"/>
    </row>
    <row r="175" ht="15.75" customHeight="1">
      <c r="V175" s="14"/>
    </row>
    <row r="176" ht="15.75" customHeight="1">
      <c r="V176" s="14"/>
    </row>
    <row r="177" ht="15.75" customHeight="1">
      <c r="V177" s="14"/>
    </row>
    <row r="178" ht="15.75" customHeight="1">
      <c r="V178" s="14"/>
    </row>
    <row r="179" ht="15.75" customHeight="1">
      <c r="V179" s="14"/>
    </row>
    <row r="180" ht="15.75" customHeight="1">
      <c r="V180" s="14"/>
    </row>
    <row r="181" ht="15.75" customHeight="1">
      <c r="V181" s="14"/>
    </row>
    <row r="182" ht="15.75" customHeight="1">
      <c r="V182" s="14"/>
    </row>
    <row r="183" ht="15.75" customHeight="1">
      <c r="V183" s="14"/>
    </row>
    <row r="184" ht="15.75" customHeight="1">
      <c r="V184" s="14"/>
    </row>
    <row r="185" ht="15.75" customHeight="1">
      <c r="V185" s="14"/>
    </row>
    <row r="186" ht="15.75" customHeight="1">
      <c r="V186" s="14"/>
    </row>
    <row r="187" ht="15.75" customHeight="1">
      <c r="V187" s="14"/>
    </row>
    <row r="188" ht="15.75" customHeight="1">
      <c r="V188" s="14"/>
    </row>
    <row r="189" ht="15.75" customHeight="1">
      <c r="V189" s="14"/>
    </row>
    <row r="190" ht="15.75" customHeight="1">
      <c r="V190" s="14"/>
    </row>
    <row r="191" ht="15.75" customHeight="1">
      <c r="V191" s="14"/>
    </row>
    <row r="192" ht="15.75" customHeight="1">
      <c r="V192" s="14"/>
    </row>
    <row r="193" ht="15.75" customHeight="1">
      <c r="V193" s="14"/>
    </row>
    <row r="194" ht="15.75" customHeight="1">
      <c r="V194" s="14"/>
    </row>
    <row r="195" ht="15.75" customHeight="1">
      <c r="V195" s="14"/>
    </row>
    <row r="196" ht="15.75" customHeight="1">
      <c r="V196" s="14"/>
    </row>
    <row r="197" ht="15.75" customHeight="1">
      <c r="V197" s="14"/>
    </row>
    <row r="198" ht="15.75" customHeight="1">
      <c r="V198" s="14"/>
    </row>
    <row r="199" ht="15.75" customHeight="1">
      <c r="V199" s="14"/>
    </row>
    <row r="200" ht="15.75" customHeight="1">
      <c r="V200" s="14"/>
    </row>
    <row r="201" ht="15.75" customHeight="1">
      <c r="V201" s="14"/>
    </row>
    <row r="202" ht="15.75" customHeight="1">
      <c r="V202" s="14"/>
    </row>
    <row r="203" ht="15.75" customHeight="1">
      <c r="V203" s="14"/>
    </row>
    <row r="204" ht="15.75" customHeight="1">
      <c r="V204" s="14"/>
    </row>
    <row r="205" ht="15.75" customHeight="1">
      <c r="V205" s="14"/>
    </row>
    <row r="206" ht="15.75" customHeight="1">
      <c r="V206" s="14"/>
    </row>
    <row r="207" ht="15.75" customHeight="1">
      <c r="V207" s="14"/>
    </row>
    <row r="208" ht="15.75" customHeight="1">
      <c r="V208" s="14"/>
    </row>
    <row r="209" ht="15.75" customHeight="1">
      <c r="V209" s="14"/>
    </row>
    <row r="210" ht="15.75" customHeight="1">
      <c r="V210" s="14"/>
    </row>
    <row r="211" ht="15.75" customHeight="1">
      <c r="V211" s="14"/>
    </row>
    <row r="212" ht="15.75" customHeight="1">
      <c r="V212" s="14"/>
    </row>
    <row r="213" ht="15.75" customHeight="1">
      <c r="V213" s="14"/>
    </row>
    <row r="214" ht="15.75" customHeight="1">
      <c r="V214" s="14"/>
    </row>
    <row r="215" ht="15.75" customHeight="1">
      <c r="V215" s="14"/>
    </row>
    <row r="216" ht="15.75" customHeight="1">
      <c r="V216" s="14"/>
    </row>
    <row r="217" ht="15.75" customHeight="1">
      <c r="V217" s="14"/>
    </row>
    <row r="218" ht="15.75" customHeight="1">
      <c r="V218" s="14"/>
    </row>
    <row r="219" ht="15.75" customHeight="1">
      <c r="V219" s="14"/>
    </row>
    <row r="220" ht="15.75" customHeight="1">
      <c r="V220" s="14"/>
    </row>
    <row r="221" ht="15.75" customHeight="1">
      <c r="V221" s="14"/>
    </row>
    <row r="222" ht="15.75" customHeight="1">
      <c r="V222" s="14"/>
    </row>
    <row r="223" ht="15.75" customHeight="1">
      <c r="V223" s="14"/>
    </row>
    <row r="224" ht="15.75" customHeight="1">
      <c r="V224" s="14"/>
    </row>
    <row r="225" ht="15.75" customHeight="1">
      <c r="V225" s="14"/>
    </row>
    <row r="226" ht="15.75" customHeight="1">
      <c r="V226" s="14"/>
    </row>
    <row r="227" ht="15.75" customHeight="1">
      <c r="V227" s="14"/>
    </row>
    <row r="228" ht="15.75" customHeight="1">
      <c r="V228" s="14"/>
    </row>
    <row r="229" ht="15.75" customHeight="1">
      <c r="V229" s="14"/>
    </row>
    <row r="230" ht="15.75" customHeight="1">
      <c r="V230" s="14"/>
    </row>
    <row r="231" ht="15.75" customHeight="1">
      <c r="V231" s="14"/>
    </row>
    <row r="232" ht="15.75" customHeight="1">
      <c r="V232" s="14"/>
    </row>
    <row r="233" ht="15.75" customHeight="1">
      <c r="V233" s="14"/>
    </row>
    <row r="234" ht="15.75" customHeight="1">
      <c r="V234" s="14"/>
    </row>
    <row r="235" ht="15.75" customHeight="1">
      <c r="V235" s="14"/>
    </row>
    <row r="236" ht="15.75" customHeight="1">
      <c r="V236" s="14"/>
    </row>
    <row r="237" ht="15.75" customHeight="1">
      <c r="V237" s="14"/>
    </row>
    <row r="238" ht="15.75" customHeight="1">
      <c r="V238" s="14"/>
    </row>
    <row r="239" ht="15.75" customHeight="1">
      <c r="V239" s="14"/>
    </row>
    <row r="240" ht="15.75" customHeight="1">
      <c r="V240" s="14"/>
    </row>
    <row r="241" ht="15.75" customHeight="1">
      <c r="V241" s="14"/>
    </row>
    <row r="242" ht="15.75" customHeight="1">
      <c r="V242" s="14"/>
    </row>
    <row r="243" ht="15.75" customHeight="1">
      <c r="V243" s="14"/>
    </row>
    <row r="244" ht="15.75" customHeight="1">
      <c r="V244" s="14"/>
    </row>
    <row r="245" ht="15.75" customHeight="1">
      <c r="V245" s="14"/>
    </row>
    <row r="246" ht="15.75" customHeight="1">
      <c r="V246" s="14"/>
    </row>
    <row r="247" ht="15.75" customHeight="1">
      <c r="V247" s="14"/>
    </row>
    <row r="248" ht="15.75" customHeight="1">
      <c r="V248" s="14"/>
    </row>
    <row r="249" ht="15.75" customHeight="1">
      <c r="V249" s="14"/>
    </row>
    <row r="250" ht="15.75" customHeight="1">
      <c r="V250" s="14"/>
    </row>
    <row r="251" ht="15.75" customHeight="1">
      <c r="V251" s="14"/>
    </row>
    <row r="252" ht="15.75" customHeight="1">
      <c r="V252" s="14"/>
    </row>
    <row r="253" ht="15.75" customHeight="1">
      <c r="V253" s="14"/>
    </row>
    <row r="254" ht="15.75" customHeight="1">
      <c r="V254" s="14"/>
    </row>
    <row r="255" ht="15.75" customHeight="1">
      <c r="V255" s="14"/>
    </row>
    <row r="256" ht="15.75" customHeight="1">
      <c r="V256" s="14"/>
    </row>
    <row r="257" ht="15.75" customHeight="1">
      <c r="V257" s="14"/>
    </row>
    <row r="258" ht="15.75" customHeight="1">
      <c r="V258" s="14"/>
    </row>
    <row r="259" ht="15.75" customHeight="1">
      <c r="V259" s="14"/>
    </row>
    <row r="260" ht="15.75" customHeight="1">
      <c r="V260" s="14"/>
    </row>
    <row r="261" ht="15.75" customHeight="1">
      <c r="V261" s="14"/>
    </row>
    <row r="262" ht="15.75" customHeight="1">
      <c r="V262" s="14"/>
    </row>
    <row r="263" ht="15.75" customHeight="1">
      <c r="V263" s="14"/>
    </row>
    <row r="264" ht="15.75" customHeight="1">
      <c r="V264" s="14"/>
    </row>
    <row r="265" ht="15.75" customHeight="1">
      <c r="V265" s="14"/>
    </row>
    <row r="266" ht="15.75" customHeight="1">
      <c r="V266" s="14"/>
    </row>
    <row r="267" ht="15.75" customHeight="1">
      <c r="V267" s="14"/>
    </row>
    <row r="268" ht="15.75" customHeight="1">
      <c r="V268" s="14"/>
    </row>
    <row r="269" ht="15.75" customHeight="1">
      <c r="V269" s="14"/>
    </row>
    <row r="270" ht="15.75" customHeight="1">
      <c r="V270" s="14"/>
    </row>
    <row r="271" ht="15.75" customHeight="1">
      <c r="V271" s="14"/>
    </row>
    <row r="272" ht="15.75" customHeight="1">
      <c r="V272" s="14"/>
    </row>
    <row r="273" ht="15.75" customHeight="1">
      <c r="V273" s="14"/>
    </row>
    <row r="274" ht="15.75" customHeight="1">
      <c r="V274" s="14"/>
    </row>
    <row r="275" ht="15.75" customHeight="1">
      <c r="V275" s="14"/>
    </row>
    <row r="276" ht="15.75" customHeight="1">
      <c r="V276" s="14"/>
    </row>
    <row r="277" ht="15.75" customHeight="1">
      <c r="V277" s="14"/>
    </row>
    <row r="278" ht="15.75" customHeight="1">
      <c r="V278" s="14"/>
    </row>
    <row r="279" ht="15.75" customHeight="1">
      <c r="V279" s="14"/>
    </row>
    <row r="280" ht="15.75" customHeight="1">
      <c r="V280" s="14"/>
    </row>
    <row r="281" ht="15.75" customHeight="1">
      <c r="V281" s="14"/>
    </row>
    <row r="282" ht="15.75" customHeight="1">
      <c r="V282" s="14"/>
    </row>
    <row r="283" ht="15.75" customHeight="1">
      <c r="V283" s="14"/>
    </row>
    <row r="284" ht="15.75" customHeight="1">
      <c r="V284" s="14"/>
    </row>
    <row r="285" ht="15.75" customHeight="1">
      <c r="V285" s="14"/>
    </row>
    <row r="286" ht="15.75" customHeight="1">
      <c r="V286" s="14"/>
    </row>
    <row r="287" ht="15.75" customHeight="1">
      <c r="V287" s="14"/>
    </row>
    <row r="288" ht="15.75" customHeight="1">
      <c r="V288" s="14"/>
    </row>
    <row r="289" ht="15.75" customHeight="1">
      <c r="V289" s="14"/>
    </row>
    <row r="290" ht="15.75" customHeight="1">
      <c r="V290" s="14"/>
    </row>
    <row r="291" ht="15.75" customHeight="1">
      <c r="V291" s="14"/>
    </row>
    <row r="292" ht="15.75" customHeight="1">
      <c r="V292" s="14"/>
    </row>
    <row r="293" ht="15.75" customHeight="1">
      <c r="V293" s="14"/>
    </row>
    <row r="294" ht="15.75" customHeight="1">
      <c r="V294" s="14"/>
    </row>
    <row r="295" ht="15.75" customHeight="1">
      <c r="V295" s="14"/>
    </row>
    <row r="296" ht="15.75" customHeight="1">
      <c r="V296" s="14"/>
    </row>
    <row r="297" ht="15.75" customHeight="1">
      <c r="V297" s="14"/>
    </row>
    <row r="298" ht="15.75" customHeight="1">
      <c r="V298" s="14"/>
    </row>
    <row r="299" ht="15.75" customHeight="1">
      <c r="V299" s="14"/>
    </row>
    <row r="300" ht="15.75" customHeight="1">
      <c r="V300" s="14"/>
    </row>
    <row r="301" ht="15.75" customHeight="1">
      <c r="V301" s="14"/>
    </row>
    <row r="302" ht="15.75" customHeight="1">
      <c r="V302" s="14"/>
    </row>
    <row r="303" ht="15.75" customHeight="1">
      <c r="V303" s="14"/>
    </row>
    <row r="304" ht="15.75" customHeight="1">
      <c r="V304" s="14"/>
    </row>
    <row r="305" ht="15.75" customHeight="1">
      <c r="V305" s="14"/>
    </row>
    <row r="306" ht="15.75" customHeight="1">
      <c r="V306" s="14"/>
    </row>
    <row r="307" ht="15.75" customHeight="1">
      <c r="V307" s="14"/>
    </row>
    <row r="308" ht="15.75" customHeight="1">
      <c r="V308" s="14"/>
    </row>
    <row r="309" ht="15.75" customHeight="1">
      <c r="V309" s="14"/>
    </row>
    <row r="310" ht="15.75" customHeight="1">
      <c r="V310" s="14"/>
    </row>
    <row r="311" ht="15.75" customHeight="1">
      <c r="V311" s="14"/>
    </row>
    <row r="312" ht="15.75" customHeight="1">
      <c r="V312" s="14"/>
    </row>
    <row r="313" ht="15.75" customHeight="1">
      <c r="V313" s="14"/>
    </row>
    <row r="314" ht="15.75" customHeight="1">
      <c r="V314" s="14"/>
    </row>
    <row r="315" ht="15.75" customHeight="1">
      <c r="V315" s="14"/>
    </row>
    <row r="316" ht="15.75" customHeight="1">
      <c r="V316" s="14"/>
    </row>
    <row r="317" ht="15.75" customHeight="1">
      <c r="V317" s="14"/>
    </row>
    <row r="318" ht="15.75" customHeight="1">
      <c r="V318" s="14"/>
    </row>
    <row r="319" ht="15.75" customHeight="1">
      <c r="V319" s="14"/>
    </row>
    <row r="320" ht="15.75" customHeight="1">
      <c r="V320" s="14"/>
    </row>
    <row r="321" ht="15.75" customHeight="1">
      <c r="V321" s="14"/>
    </row>
    <row r="322" ht="15.75" customHeight="1">
      <c r="V322" s="14"/>
    </row>
    <row r="323" ht="15.75" customHeight="1">
      <c r="V323" s="14"/>
    </row>
    <row r="324" ht="15.75" customHeight="1">
      <c r="V324" s="14"/>
    </row>
    <row r="325" ht="15.75" customHeight="1">
      <c r="V325" s="14"/>
    </row>
    <row r="326" ht="15.75" customHeight="1">
      <c r="V326" s="14"/>
    </row>
    <row r="327" ht="15.75" customHeight="1">
      <c r="V327" s="14"/>
    </row>
    <row r="328" ht="15.75" customHeight="1">
      <c r="V328" s="14"/>
    </row>
    <row r="329" ht="15.75" customHeight="1">
      <c r="V329" s="14"/>
    </row>
    <row r="330" ht="15.75" customHeight="1">
      <c r="V330" s="14"/>
    </row>
    <row r="331" ht="15.75" customHeight="1">
      <c r="V331" s="14"/>
    </row>
    <row r="332" ht="15.75" customHeight="1">
      <c r="V332" s="14"/>
    </row>
    <row r="333" ht="15.75" customHeight="1">
      <c r="V333" s="14"/>
    </row>
    <row r="334" ht="15.75" customHeight="1">
      <c r="V334" s="14"/>
    </row>
    <row r="335" ht="15.75" customHeight="1">
      <c r="V335" s="14"/>
    </row>
    <row r="336" ht="15.75" customHeight="1">
      <c r="V336" s="14"/>
    </row>
    <row r="337" ht="15.75" customHeight="1">
      <c r="V337" s="14"/>
    </row>
    <row r="338" ht="15.75" customHeight="1">
      <c r="V338" s="14"/>
    </row>
    <row r="339" ht="15.75" customHeight="1">
      <c r="V339" s="14"/>
    </row>
    <row r="340" ht="15.75" customHeight="1">
      <c r="V340" s="14"/>
    </row>
    <row r="341" ht="15.75" customHeight="1">
      <c r="V341" s="14"/>
    </row>
    <row r="342" ht="15.75" customHeight="1">
      <c r="V342" s="14"/>
    </row>
    <row r="343" ht="15.75" customHeight="1">
      <c r="V343" s="14"/>
    </row>
    <row r="344" ht="15.75" customHeight="1">
      <c r="V344" s="14"/>
    </row>
    <row r="345" ht="15.75" customHeight="1">
      <c r="V345" s="14"/>
    </row>
    <row r="346" ht="15.75" customHeight="1">
      <c r="V346" s="14"/>
    </row>
    <row r="347" ht="15.75" customHeight="1">
      <c r="V347" s="14"/>
    </row>
    <row r="348" ht="15.75" customHeight="1">
      <c r="V348" s="14"/>
    </row>
    <row r="349" ht="15.75" customHeight="1">
      <c r="V349" s="14"/>
    </row>
    <row r="350" ht="15.75" customHeight="1">
      <c r="V350" s="14"/>
    </row>
    <row r="351" ht="15.75" customHeight="1">
      <c r="V351" s="14"/>
    </row>
    <row r="352" ht="15.75" customHeight="1">
      <c r="V352" s="14"/>
    </row>
    <row r="353" ht="15.75" customHeight="1">
      <c r="V353" s="14"/>
    </row>
    <row r="354" ht="15.75" customHeight="1">
      <c r="V354" s="14"/>
    </row>
    <row r="355" ht="15.75" customHeight="1">
      <c r="V355" s="14"/>
    </row>
    <row r="356" ht="15.75" customHeight="1">
      <c r="V356" s="14"/>
    </row>
    <row r="357" ht="15.75" customHeight="1">
      <c r="V357" s="14"/>
    </row>
    <row r="358" ht="15.75" customHeight="1">
      <c r="V358" s="14"/>
    </row>
    <row r="359" ht="15.75" customHeight="1">
      <c r="V359" s="14"/>
    </row>
    <row r="360" ht="15.75" customHeight="1">
      <c r="V360" s="14"/>
    </row>
    <row r="361" ht="15.75" customHeight="1">
      <c r="V361" s="14"/>
    </row>
    <row r="362" ht="15.75" customHeight="1">
      <c r="V362" s="14"/>
    </row>
    <row r="363" ht="15.75" customHeight="1">
      <c r="V363" s="14"/>
    </row>
    <row r="364" ht="15.75" customHeight="1">
      <c r="V364" s="14"/>
    </row>
    <row r="365" ht="15.75" customHeight="1">
      <c r="V365" s="14"/>
    </row>
    <row r="366" ht="15.75" customHeight="1">
      <c r="V366" s="14"/>
    </row>
    <row r="367" ht="15.75" customHeight="1">
      <c r="V367" s="14"/>
    </row>
    <row r="368" ht="15.75" customHeight="1">
      <c r="V368" s="14"/>
    </row>
    <row r="369" ht="15.75" customHeight="1">
      <c r="V369" s="14"/>
    </row>
    <row r="370" ht="15.75" customHeight="1">
      <c r="V370" s="14"/>
    </row>
    <row r="371" ht="15.75" customHeight="1">
      <c r="V371" s="14"/>
    </row>
    <row r="372" ht="15.75" customHeight="1">
      <c r="V372" s="14"/>
    </row>
    <row r="373" ht="15.75" customHeight="1">
      <c r="V373" s="14"/>
    </row>
    <row r="374" ht="15.75" customHeight="1">
      <c r="V374" s="14"/>
    </row>
    <row r="375" ht="15.75" customHeight="1">
      <c r="V375" s="14"/>
    </row>
    <row r="376" ht="15.75" customHeight="1">
      <c r="V376" s="14"/>
    </row>
    <row r="377" ht="15.75" customHeight="1">
      <c r="V377" s="14"/>
    </row>
    <row r="378" ht="15.75" customHeight="1">
      <c r="V378" s="14"/>
    </row>
    <row r="379" ht="15.75" customHeight="1">
      <c r="V379" s="14"/>
    </row>
    <row r="380" ht="15.75" customHeight="1">
      <c r="V380" s="14"/>
    </row>
    <row r="381" ht="15.75" customHeight="1">
      <c r="V381" s="14"/>
    </row>
    <row r="382" ht="15.75" customHeight="1">
      <c r="V382" s="14"/>
    </row>
    <row r="383" ht="15.75" customHeight="1">
      <c r="V383" s="14"/>
    </row>
    <row r="384" ht="15.75" customHeight="1">
      <c r="V384" s="14"/>
    </row>
    <row r="385" ht="15.75" customHeight="1">
      <c r="V385" s="14"/>
    </row>
    <row r="386" ht="15.75" customHeight="1">
      <c r="V386" s="14"/>
    </row>
    <row r="387" ht="15.75" customHeight="1">
      <c r="V387" s="14"/>
    </row>
    <row r="388" ht="15.75" customHeight="1">
      <c r="V388" s="14"/>
    </row>
    <row r="389" ht="15.75" customHeight="1">
      <c r="V389" s="14"/>
    </row>
    <row r="390" ht="15.75" customHeight="1">
      <c r="V390" s="14"/>
    </row>
    <row r="391" ht="15.75" customHeight="1">
      <c r="V391" s="14"/>
    </row>
    <row r="392" ht="15.75" customHeight="1">
      <c r="V392" s="14"/>
    </row>
    <row r="393" ht="15.75" customHeight="1">
      <c r="V393" s="14"/>
    </row>
    <row r="394" ht="15.75" customHeight="1">
      <c r="V394" s="14"/>
    </row>
    <row r="395" ht="15.75" customHeight="1">
      <c r="V395" s="14"/>
    </row>
    <row r="396" ht="15.75" customHeight="1">
      <c r="V396" s="14"/>
    </row>
    <row r="397" ht="15.75" customHeight="1">
      <c r="V397" s="14"/>
    </row>
    <row r="398" ht="15.75" customHeight="1">
      <c r="V398" s="14"/>
    </row>
    <row r="399" ht="15.75" customHeight="1">
      <c r="V399" s="14"/>
    </row>
    <row r="400" ht="15.75" customHeight="1">
      <c r="V400" s="14"/>
    </row>
    <row r="401" ht="15.75" customHeight="1">
      <c r="V401" s="14"/>
    </row>
    <row r="402" ht="15.75" customHeight="1">
      <c r="V402" s="14"/>
    </row>
    <row r="403" ht="15.75" customHeight="1">
      <c r="V403" s="14"/>
    </row>
    <row r="404" ht="15.75" customHeight="1">
      <c r="V404" s="14"/>
    </row>
    <row r="405" ht="15.75" customHeight="1">
      <c r="V405" s="14"/>
    </row>
    <row r="406" ht="15.75" customHeight="1">
      <c r="V406" s="14"/>
    </row>
    <row r="407" ht="15.75" customHeight="1">
      <c r="V407" s="14"/>
    </row>
    <row r="408" ht="15.75" customHeight="1">
      <c r="V408" s="14"/>
    </row>
    <row r="409" ht="15.75" customHeight="1">
      <c r="V409" s="14"/>
    </row>
    <row r="410" ht="15.75" customHeight="1">
      <c r="V410" s="14"/>
    </row>
    <row r="411" ht="15.75" customHeight="1">
      <c r="V411" s="14"/>
    </row>
    <row r="412" ht="15.75" customHeight="1">
      <c r="V412" s="14"/>
    </row>
    <row r="413" ht="15.75" customHeight="1">
      <c r="V413" s="14"/>
    </row>
    <row r="414" ht="15.75" customHeight="1">
      <c r="V414" s="14"/>
    </row>
    <row r="415" ht="15.75" customHeight="1">
      <c r="V415" s="14"/>
    </row>
    <row r="416" ht="15.75" customHeight="1">
      <c r="V416" s="14"/>
    </row>
    <row r="417" ht="15.75" customHeight="1">
      <c r="V417" s="14"/>
    </row>
    <row r="418" ht="15.75" customHeight="1">
      <c r="V418" s="14"/>
    </row>
    <row r="419" ht="15.75" customHeight="1">
      <c r="V419" s="14"/>
    </row>
    <row r="420" ht="15.75" customHeight="1">
      <c r="V420" s="14"/>
    </row>
    <row r="421" ht="15.75" customHeight="1">
      <c r="V421" s="14"/>
    </row>
    <row r="422" ht="15.75" customHeight="1">
      <c r="V422" s="14"/>
    </row>
    <row r="423" ht="15.75" customHeight="1">
      <c r="V423" s="14"/>
    </row>
    <row r="424" ht="15.75" customHeight="1">
      <c r="V424" s="14"/>
    </row>
    <row r="425" ht="15.75" customHeight="1">
      <c r="V425" s="14"/>
    </row>
    <row r="426" ht="15.75" customHeight="1">
      <c r="V426" s="14"/>
    </row>
    <row r="427" ht="15.75" customHeight="1">
      <c r="V427" s="14"/>
    </row>
    <row r="428" ht="15.75" customHeight="1">
      <c r="V428" s="14"/>
    </row>
    <row r="429" ht="15.75" customHeight="1">
      <c r="V429" s="14"/>
    </row>
    <row r="430" ht="15.75" customHeight="1">
      <c r="V430" s="14"/>
    </row>
    <row r="431" ht="15.75" customHeight="1">
      <c r="V431" s="14"/>
    </row>
    <row r="432" ht="15.75" customHeight="1">
      <c r="V432" s="14"/>
    </row>
    <row r="433" ht="15.75" customHeight="1">
      <c r="V433" s="14"/>
    </row>
    <row r="434" ht="15.75" customHeight="1">
      <c r="V434" s="14"/>
    </row>
    <row r="435" ht="15.75" customHeight="1">
      <c r="V435" s="14"/>
    </row>
    <row r="436" ht="15.75" customHeight="1">
      <c r="V436" s="14"/>
    </row>
    <row r="437" ht="15.75" customHeight="1">
      <c r="V437" s="14"/>
    </row>
    <row r="438" ht="15.75" customHeight="1">
      <c r="V438" s="14"/>
    </row>
    <row r="439" ht="15.75" customHeight="1">
      <c r="V439" s="14"/>
    </row>
    <row r="440" ht="15.75" customHeight="1">
      <c r="V440" s="14"/>
    </row>
    <row r="441" ht="15.75" customHeight="1">
      <c r="V441" s="14"/>
    </row>
    <row r="442" ht="15.75" customHeight="1">
      <c r="V442" s="14"/>
    </row>
    <row r="443" ht="15.75" customHeight="1">
      <c r="V443" s="14"/>
    </row>
    <row r="444" ht="15.75" customHeight="1">
      <c r="V444" s="14"/>
    </row>
    <row r="445" ht="15.75" customHeight="1">
      <c r="V445" s="14"/>
    </row>
    <row r="446" ht="15.75" customHeight="1">
      <c r="V446" s="14"/>
    </row>
    <row r="447" ht="15.75" customHeight="1">
      <c r="V447" s="14"/>
    </row>
    <row r="448" ht="15.75" customHeight="1">
      <c r="V448" s="14"/>
    </row>
    <row r="449" ht="15.75" customHeight="1">
      <c r="V449" s="14"/>
    </row>
    <row r="450" ht="15.75" customHeight="1">
      <c r="V450" s="14"/>
    </row>
    <row r="451" ht="15.75" customHeight="1">
      <c r="V451" s="14"/>
    </row>
    <row r="452" ht="15.75" customHeight="1">
      <c r="V452" s="14"/>
    </row>
    <row r="453" ht="15.75" customHeight="1">
      <c r="V453" s="14"/>
    </row>
    <row r="454" ht="15.75" customHeight="1">
      <c r="V454" s="14"/>
    </row>
    <row r="455" ht="15.75" customHeight="1">
      <c r="V455" s="14"/>
    </row>
    <row r="456" ht="15.75" customHeight="1">
      <c r="V456" s="14"/>
    </row>
    <row r="457" ht="15.75" customHeight="1">
      <c r="V457" s="14"/>
    </row>
    <row r="458" ht="15.75" customHeight="1">
      <c r="V458" s="14"/>
    </row>
    <row r="459" ht="15.75" customHeight="1">
      <c r="V459" s="14"/>
    </row>
    <row r="460" ht="15.75" customHeight="1">
      <c r="V460" s="14"/>
    </row>
    <row r="461" ht="15.75" customHeight="1">
      <c r="V461" s="14"/>
    </row>
    <row r="462" ht="15.75" customHeight="1">
      <c r="V462" s="14"/>
    </row>
    <row r="463" ht="15.75" customHeight="1">
      <c r="V463" s="14"/>
    </row>
    <row r="464" ht="15.75" customHeight="1">
      <c r="V464" s="14"/>
    </row>
    <row r="465" ht="15.75" customHeight="1">
      <c r="V465" s="14"/>
    </row>
    <row r="466" ht="15.75" customHeight="1">
      <c r="V466" s="14"/>
    </row>
    <row r="467" ht="15.75" customHeight="1">
      <c r="V467" s="14"/>
    </row>
    <row r="468" ht="15.75" customHeight="1">
      <c r="V468" s="14"/>
    </row>
    <row r="469" ht="15.75" customHeight="1">
      <c r="V469" s="14"/>
    </row>
    <row r="470" ht="15.75" customHeight="1">
      <c r="V470" s="14"/>
    </row>
    <row r="471" ht="15.75" customHeight="1">
      <c r="V471" s="14"/>
    </row>
    <row r="472" ht="15.75" customHeight="1">
      <c r="V472" s="14"/>
    </row>
    <row r="473" ht="15.75" customHeight="1">
      <c r="V473" s="14"/>
    </row>
    <row r="474" ht="15.75" customHeight="1">
      <c r="V474" s="14"/>
    </row>
    <row r="475" ht="15.75" customHeight="1">
      <c r="V475" s="14"/>
    </row>
    <row r="476" ht="15.75" customHeight="1">
      <c r="V476" s="14"/>
    </row>
    <row r="477" ht="15.75" customHeight="1">
      <c r="V477" s="14"/>
    </row>
    <row r="478" ht="15.75" customHeight="1">
      <c r="V478" s="14"/>
    </row>
    <row r="479" ht="15.75" customHeight="1">
      <c r="V479" s="14"/>
    </row>
    <row r="480" ht="15.75" customHeight="1">
      <c r="V480" s="14"/>
    </row>
    <row r="481" ht="15.75" customHeight="1">
      <c r="V481" s="14"/>
    </row>
    <row r="482" ht="15.75" customHeight="1">
      <c r="V482" s="14"/>
    </row>
    <row r="483" ht="15.75" customHeight="1">
      <c r="V483" s="14"/>
    </row>
    <row r="484" ht="15.75" customHeight="1">
      <c r="V484" s="14"/>
    </row>
    <row r="485" ht="15.75" customHeight="1">
      <c r="V485" s="14"/>
    </row>
    <row r="486" ht="15.75" customHeight="1">
      <c r="V486" s="14"/>
    </row>
    <row r="487" ht="15.75" customHeight="1">
      <c r="V487" s="14"/>
    </row>
    <row r="488" ht="15.75" customHeight="1">
      <c r="V488" s="14"/>
    </row>
    <row r="489" ht="15.75" customHeight="1">
      <c r="V489" s="14"/>
    </row>
    <row r="490" ht="15.75" customHeight="1">
      <c r="V490" s="14"/>
    </row>
    <row r="491" ht="15.75" customHeight="1">
      <c r="V491" s="14"/>
    </row>
    <row r="492" ht="15.75" customHeight="1">
      <c r="V492" s="14"/>
    </row>
    <row r="493" ht="15.75" customHeight="1">
      <c r="V493" s="14"/>
    </row>
    <row r="494" ht="15.75" customHeight="1">
      <c r="V494" s="14"/>
    </row>
    <row r="495" ht="15.75" customHeight="1">
      <c r="V495" s="14"/>
    </row>
    <row r="496" ht="15.75" customHeight="1">
      <c r="V496" s="14"/>
    </row>
    <row r="497" ht="15.75" customHeight="1">
      <c r="V497" s="14"/>
    </row>
    <row r="498" ht="15.75" customHeight="1">
      <c r="V498" s="14"/>
    </row>
    <row r="499" ht="15.75" customHeight="1">
      <c r="V499" s="14"/>
    </row>
    <row r="500" ht="15.75" customHeight="1">
      <c r="V500" s="14"/>
    </row>
    <row r="501" ht="15.75" customHeight="1">
      <c r="V501" s="14"/>
    </row>
    <row r="502" ht="15.75" customHeight="1">
      <c r="V502" s="14"/>
    </row>
    <row r="503" ht="15.75" customHeight="1">
      <c r="V503" s="14"/>
    </row>
    <row r="504" ht="15.75" customHeight="1">
      <c r="V504" s="14"/>
    </row>
    <row r="505" ht="15.75" customHeight="1">
      <c r="V505" s="14"/>
    </row>
    <row r="506" ht="15.75" customHeight="1">
      <c r="V506" s="14"/>
    </row>
    <row r="507" ht="15.75" customHeight="1">
      <c r="V507" s="14"/>
    </row>
    <row r="508" ht="15.75" customHeight="1">
      <c r="V508" s="14"/>
    </row>
    <row r="509" ht="15.75" customHeight="1">
      <c r="V509" s="14"/>
    </row>
    <row r="510" ht="15.75" customHeight="1">
      <c r="V510" s="14"/>
    </row>
    <row r="511" ht="15.75" customHeight="1">
      <c r="V511" s="14"/>
    </row>
    <row r="512" ht="15.75" customHeight="1">
      <c r="V512" s="14"/>
    </row>
    <row r="513" ht="15.75" customHeight="1">
      <c r="V513" s="14"/>
    </row>
    <row r="514" ht="15.75" customHeight="1">
      <c r="V514" s="14"/>
    </row>
    <row r="515" ht="15.75" customHeight="1">
      <c r="V515" s="14"/>
    </row>
    <row r="516" ht="15.75" customHeight="1">
      <c r="V516" s="14"/>
    </row>
    <row r="517" ht="15.75" customHeight="1">
      <c r="V517" s="14"/>
    </row>
    <row r="518" ht="15.75" customHeight="1">
      <c r="V518" s="14"/>
    </row>
    <row r="519" ht="15.75" customHeight="1">
      <c r="V519" s="14"/>
    </row>
    <row r="520" ht="15.75" customHeight="1">
      <c r="V520" s="14"/>
    </row>
    <row r="521" ht="15.75" customHeight="1">
      <c r="V521" s="14"/>
    </row>
    <row r="522" ht="15.75" customHeight="1">
      <c r="V522" s="14"/>
    </row>
    <row r="523" ht="15.75" customHeight="1">
      <c r="V523" s="14"/>
    </row>
    <row r="524" ht="15.75" customHeight="1">
      <c r="V524" s="14"/>
    </row>
    <row r="525" ht="15.75" customHeight="1">
      <c r="V525" s="14"/>
    </row>
    <row r="526" ht="15.75" customHeight="1">
      <c r="V526" s="14"/>
    </row>
    <row r="527" ht="15.75" customHeight="1">
      <c r="V527" s="14"/>
    </row>
    <row r="528" ht="15.75" customHeight="1">
      <c r="V528" s="14"/>
    </row>
    <row r="529" ht="15.75" customHeight="1">
      <c r="V529" s="14"/>
    </row>
    <row r="530" ht="15.75" customHeight="1">
      <c r="V530" s="14"/>
    </row>
    <row r="531" ht="15.75" customHeight="1">
      <c r="V531" s="14"/>
    </row>
    <row r="532" ht="15.75" customHeight="1">
      <c r="V532" s="14"/>
    </row>
    <row r="533" ht="15.75" customHeight="1">
      <c r="V533" s="14"/>
    </row>
    <row r="534" ht="15.75" customHeight="1">
      <c r="V534" s="14"/>
    </row>
    <row r="535" ht="15.75" customHeight="1">
      <c r="V535" s="14"/>
    </row>
    <row r="536" ht="15.75" customHeight="1">
      <c r="V536" s="14"/>
    </row>
    <row r="537" ht="15.75" customHeight="1">
      <c r="V537" s="14"/>
    </row>
    <row r="538" ht="15.75" customHeight="1">
      <c r="V538" s="14"/>
    </row>
    <row r="539" ht="15.75" customHeight="1">
      <c r="V539" s="14"/>
    </row>
    <row r="540" ht="15.75" customHeight="1">
      <c r="V540" s="14"/>
    </row>
    <row r="541" ht="15.75" customHeight="1">
      <c r="V541" s="14"/>
    </row>
    <row r="542" ht="15.75" customHeight="1">
      <c r="V542" s="14"/>
    </row>
    <row r="543" ht="15.75" customHeight="1">
      <c r="V543" s="14"/>
    </row>
    <row r="544" ht="15.75" customHeight="1">
      <c r="V544" s="14"/>
    </row>
    <row r="545" ht="15.75" customHeight="1">
      <c r="V545" s="14"/>
    </row>
    <row r="546" ht="15.75" customHeight="1">
      <c r="V546" s="14"/>
    </row>
    <row r="547" ht="15.75" customHeight="1">
      <c r="V547" s="14"/>
    </row>
    <row r="548" ht="15.75" customHeight="1">
      <c r="V548" s="14"/>
    </row>
    <row r="549" ht="15.75" customHeight="1">
      <c r="V549" s="14"/>
    </row>
    <row r="550" ht="15.75" customHeight="1">
      <c r="V550" s="14"/>
    </row>
    <row r="551" ht="15.75" customHeight="1">
      <c r="V551" s="14"/>
    </row>
    <row r="552" ht="15.75" customHeight="1">
      <c r="V552" s="14"/>
    </row>
    <row r="553" ht="15.75" customHeight="1">
      <c r="V553" s="14"/>
    </row>
    <row r="554" ht="15.75" customHeight="1">
      <c r="V554" s="14"/>
    </row>
    <row r="555" ht="15.75" customHeight="1">
      <c r="V555" s="14"/>
    </row>
    <row r="556" ht="15.75" customHeight="1">
      <c r="V556" s="14"/>
    </row>
    <row r="557" ht="15.75" customHeight="1">
      <c r="V557" s="14"/>
    </row>
    <row r="558" ht="15.75" customHeight="1">
      <c r="V558" s="14"/>
    </row>
    <row r="559" ht="15.75" customHeight="1">
      <c r="V559" s="14"/>
    </row>
    <row r="560" ht="15.75" customHeight="1">
      <c r="V560" s="14"/>
    </row>
    <row r="561" ht="15.75" customHeight="1">
      <c r="V561" s="14"/>
    </row>
    <row r="562" ht="15.75" customHeight="1">
      <c r="V562" s="14"/>
    </row>
    <row r="563" ht="15.75" customHeight="1">
      <c r="V563" s="14"/>
    </row>
    <row r="564" ht="15.75" customHeight="1">
      <c r="V564" s="14"/>
    </row>
    <row r="565" ht="15.75" customHeight="1">
      <c r="V565" s="14"/>
    </row>
    <row r="566" ht="15.75" customHeight="1">
      <c r="V566" s="14"/>
    </row>
    <row r="567" ht="15.75" customHeight="1">
      <c r="V567" s="14"/>
    </row>
    <row r="568" ht="15.75" customHeight="1">
      <c r="V568" s="14"/>
    </row>
    <row r="569" ht="15.75" customHeight="1">
      <c r="V569" s="14"/>
    </row>
    <row r="570" ht="15.75" customHeight="1">
      <c r="V570" s="14"/>
    </row>
    <row r="571" ht="15.75" customHeight="1">
      <c r="V571" s="14"/>
    </row>
    <row r="572" ht="15.75" customHeight="1">
      <c r="V572" s="14"/>
    </row>
    <row r="573" ht="15.75" customHeight="1">
      <c r="V573" s="14"/>
    </row>
    <row r="574" ht="15.75" customHeight="1">
      <c r="V574" s="14"/>
    </row>
    <row r="575" ht="15.75" customHeight="1">
      <c r="V575" s="14"/>
    </row>
    <row r="576" ht="15.75" customHeight="1">
      <c r="V576" s="14"/>
    </row>
    <row r="577" ht="15.75" customHeight="1">
      <c r="V577" s="14"/>
    </row>
    <row r="578" ht="15.75" customHeight="1">
      <c r="V578" s="14"/>
    </row>
    <row r="579" ht="15.75" customHeight="1">
      <c r="V579" s="14"/>
    </row>
    <row r="580" ht="15.75" customHeight="1">
      <c r="V580" s="14"/>
    </row>
    <row r="581" ht="15.75" customHeight="1">
      <c r="V581" s="14"/>
    </row>
    <row r="582" ht="15.75" customHeight="1">
      <c r="V582" s="14"/>
    </row>
    <row r="583" ht="15.75" customHeight="1">
      <c r="V583" s="14"/>
    </row>
    <row r="584" ht="15.75" customHeight="1">
      <c r="V584" s="14"/>
    </row>
    <row r="585" ht="15.75" customHeight="1">
      <c r="V585" s="14"/>
    </row>
    <row r="586" ht="15.75" customHeight="1">
      <c r="V586" s="14"/>
    </row>
    <row r="587" ht="15.75" customHeight="1">
      <c r="V587" s="14"/>
    </row>
    <row r="588" ht="15.75" customHeight="1">
      <c r="V588" s="14"/>
    </row>
    <row r="589" ht="15.75" customHeight="1">
      <c r="V589" s="14"/>
    </row>
    <row r="590" ht="15.75" customHeight="1">
      <c r="V590" s="14"/>
    </row>
    <row r="591" ht="15.75" customHeight="1">
      <c r="V591" s="14"/>
    </row>
    <row r="592" ht="15.75" customHeight="1">
      <c r="V592" s="14"/>
    </row>
    <row r="593" ht="15.75" customHeight="1">
      <c r="V593" s="14"/>
    </row>
    <row r="594" ht="15.75" customHeight="1">
      <c r="V594" s="14"/>
    </row>
    <row r="595" ht="15.75" customHeight="1">
      <c r="V595" s="14"/>
    </row>
    <row r="596" ht="15.75" customHeight="1">
      <c r="V596" s="14"/>
    </row>
    <row r="597" ht="15.75" customHeight="1">
      <c r="V597" s="14"/>
    </row>
    <row r="598" ht="15.75" customHeight="1">
      <c r="V598" s="14"/>
    </row>
    <row r="599" ht="15.75" customHeight="1">
      <c r="V599" s="14"/>
    </row>
    <row r="600" ht="15.75" customHeight="1">
      <c r="V600" s="14"/>
    </row>
    <row r="601" ht="15.75" customHeight="1">
      <c r="V601" s="14"/>
    </row>
    <row r="602" ht="15.75" customHeight="1">
      <c r="V602" s="14"/>
    </row>
    <row r="603" ht="15.75" customHeight="1">
      <c r="V603" s="14"/>
    </row>
    <row r="604" ht="15.75" customHeight="1">
      <c r="V604" s="14"/>
    </row>
    <row r="605" ht="15.75" customHeight="1">
      <c r="V605" s="14"/>
    </row>
    <row r="606" ht="15.75" customHeight="1">
      <c r="V606" s="14"/>
    </row>
    <row r="607" ht="15.75" customHeight="1">
      <c r="V607" s="14"/>
    </row>
    <row r="608" ht="15.75" customHeight="1">
      <c r="V608" s="14"/>
    </row>
    <row r="609" ht="15.75" customHeight="1">
      <c r="V609" s="14"/>
    </row>
    <row r="610" ht="15.75" customHeight="1">
      <c r="V610" s="14"/>
    </row>
    <row r="611" ht="15.75" customHeight="1">
      <c r="V611" s="14"/>
    </row>
    <row r="612" ht="15.75" customHeight="1">
      <c r="V612" s="14"/>
    </row>
    <row r="613" ht="15.75" customHeight="1">
      <c r="V613" s="14"/>
    </row>
    <row r="614" ht="15.75" customHeight="1">
      <c r="V614" s="14"/>
    </row>
    <row r="615" ht="15.75" customHeight="1">
      <c r="V615" s="14"/>
    </row>
    <row r="616" ht="15.75" customHeight="1">
      <c r="V616" s="14"/>
    </row>
    <row r="617" ht="15.75" customHeight="1">
      <c r="V617" s="14"/>
    </row>
    <row r="618" ht="15.75" customHeight="1">
      <c r="V618" s="14"/>
    </row>
    <row r="619" ht="15.75" customHeight="1">
      <c r="V619" s="14"/>
    </row>
    <row r="620" ht="15.75" customHeight="1">
      <c r="V620" s="14"/>
    </row>
    <row r="621" ht="15.75" customHeight="1">
      <c r="V621" s="14"/>
    </row>
    <row r="622" ht="15.75" customHeight="1">
      <c r="V622" s="14"/>
    </row>
    <row r="623" ht="15.75" customHeight="1">
      <c r="V623" s="14"/>
    </row>
    <row r="624" ht="15.75" customHeight="1">
      <c r="V624" s="14"/>
    </row>
    <row r="625" ht="15.75" customHeight="1">
      <c r="V625" s="14"/>
    </row>
    <row r="626" ht="15.75" customHeight="1">
      <c r="V626" s="14"/>
    </row>
    <row r="627" ht="15.75" customHeight="1">
      <c r="V627" s="14"/>
    </row>
    <row r="628" ht="15.75" customHeight="1">
      <c r="V628" s="14"/>
    </row>
    <row r="629" ht="15.75" customHeight="1">
      <c r="V629" s="14"/>
    </row>
    <row r="630" ht="15.75" customHeight="1">
      <c r="V630" s="14"/>
    </row>
    <row r="631" ht="15.75" customHeight="1">
      <c r="V631" s="14"/>
    </row>
    <row r="632" ht="15.75" customHeight="1">
      <c r="V632" s="14"/>
    </row>
    <row r="633" ht="15.75" customHeight="1">
      <c r="V633" s="14"/>
    </row>
    <row r="634" ht="15.75" customHeight="1">
      <c r="V634" s="14"/>
    </row>
    <row r="635" ht="15.75" customHeight="1">
      <c r="V635" s="14"/>
    </row>
    <row r="636" ht="15.75" customHeight="1">
      <c r="V636" s="14"/>
    </row>
    <row r="637" ht="15.75" customHeight="1">
      <c r="V637" s="14"/>
    </row>
    <row r="638" ht="15.75" customHeight="1">
      <c r="V638" s="14"/>
    </row>
    <row r="639" ht="15.75" customHeight="1">
      <c r="V639" s="14"/>
    </row>
    <row r="640" ht="15.75" customHeight="1">
      <c r="V640" s="14"/>
    </row>
    <row r="641" ht="15.75" customHeight="1">
      <c r="V641" s="14"/>
    </row>
    <row r="642" ht="15.75" customHeight="1">
      <c r="V642" s="14"/>
    </row>
    <row r="643" ht="15.75" customHeight="1">
      <c r="V643" s="14"/>
    </row>
    <row r="644" ht="15.75" customHeight="1">
      <c r="V644" s="14"/>
    </row>
    <row r="645" ht="15.75" customHeight="1">
      <c r="V645" s="14"/>
    </row>
    <row r="646" ht="15.75" customHeight="1">
      <c r="V646" s="14"/>
    </row>
    <row r="647" ht="15.75" customHeight="1">
      <c r="V647" s="14"/>
    </row>
    <row r="648" ht="15.75" customHeight="1">
      <c r="V648" s="14"/>
    </row>
    <row r="649" ht="15.75" customHeight="1">
      <c r="V649" s="14"/>
    </row>
    <row r="650" ht="15.75" customHeight="1">
      <c r="V650" s="14"/>
    </row>
    <row r="651" ht="15.75" customHeight="1">
      <c r="V651" s="14"/>
    </row>
    <row r="652" ht="15.75" customHeight="1">
      <c r="V652" s="14"/>
    </row>
    <row r="653" ht="15.75" customHeight="1">
      <c r="V653" s="14"/>
    </row>
    <row r="654" ht="15.75" customHeight="1">
      <c r="V654" s="14"/>
    </row>
    <row r="655" ht="15.75" customHeight="1">
      <c r="V655" s="14"/>
    </row>
    <row r="656" ht="15.75" customHeight="1">
      <c r="V656" s="14"/>
    </row>
    <row r="657" ht="15.75" customHeight="1">
      <c r="V657" s="14"/>
    </row>
    <row r="658" ht="15.75" customHeight="1">
      <c r="V658" s="14"/>
    </row>
    <row r="659" ht="15.75" customHeight="1">
      <c r="V659" s="14"/>
    </row>
    <row r="660" ht="15.75" customHeight="1">
      <c r="V660" s="14"/>
    </row>
    <row r="661" ht="15.75" customHeight="1">
      <c r="V661" s="14"/>
    </row>
    <row r="662" ht="15.75" customHeight="1">
      <c r="V662" s="14"/>
    </row>
    <row r="663" ht="15.75" customHeight="1">
      <c r="V663" s="14"/>
    </row>
    <row r="664" ht="15.75" customHeight="1">
      <c r="V664" s="14"/>
    </row>
    <row r="665" ht="15.75" customHeight="1">
      <c r="V665" s="14"/>
    </row>
    <row r="666" ht="15.75" customHeight="1">
      <c r="V666" s="14"/>
    </row>
    <row r="667" ht="15.75" customHeight="1">
      <c r="V667" s="14"/>
    </row>
    <row r="668" ht="15.75" customHeight="1">
      <c r="V668" s="14"/>
    </row>
    <row r="669" ht="15.75" customHeight="1">
      <c r="V669" s="14"/>
    </row>
    <row r="670" ht="15.75" customHeight="1">
      <c r="V670" s="14"/>
    </row>
    <row r="671" ht="15.75" customHeight="1">
      <c r="V671" s="14"/>
    </row>
    <row r="672" ht="15.75" customHeight="1">
      <c r="V672" s="14"/>
    </row>
    <row r="673" ht="15.75" customHeight="1">
      <c r="V673" s="14"/>
    </row>
    <row r="674" ht="15.75" customHeight="1">
      <c r="V674" s="14"/>
    </row>
    <row r="675" ht="15.75" customHeight="1">
      <c r="V675" s="14"/>
    </row>
    <row r="676" ht="15.75" customHeight="1">
      <c r="V676" s="14"/>
    </row>
    <row r="677" ht="15.75" customHeight="1">
      <c r="V677" s="14"/>
    </row>
    <row r="678" ht="15.75" customHeight="1">
      <c r="V678" s="14"/>
    </row>
    <row r="679" ht="15.75" customHeight="1">
      <c r="V679" s="14"/>
    </row>
    <row r="680" ht="15.75" customHeight="1">
      <c r="V680" s="14"/>
    </row>
    <row r="681" ht="15.75" customHeight="1">
      <c r="V681" s="14"/>
    </row>
    <row r="682" ht="15.75" customHeight="1">
      <c r="V682" s="14"/>
    </row>
    <row r="683" ht="15.75" customHeight="1">
      <c r="V683" s="14"/>
    </row>
    <row r="684" ht="15.75" customHeight="1">
      <c r="V684" s="14"/>
    </row>
    <row r="685" ht="15.75" customHeight="1">
      <c r="V685" s="14"/>
    </row>
    <row r="686" ht="15.75" customHeight="1">
      <c r="V686" s="14"/>
    </row>
    <row r="687" ht="15.75" customHeight="1">
      <c r="V687" s="14"/>
    </row>
    <row r="688" ht="15.75" customHeight="1">
      <c r="V688" s="14"/>
    </row>
    <row r="689" ht="15.75" customHeight="1">
      <c r="V689" s="14"/>
    </row>
    <row r="690" ht="15.75" customHeight="1">
      <c r="V690" s="14"/>
    </row>
    <row r="691" ht="15.75" customHeight="1">
      <c r="V691" s="14"/>
    </row>
    <row r="692" ht="15.75" customHeight="1">
      <c r="V692" s="14"/>
    </row>
    <row r="693" ht="15.75" customHeight="1">
      <c r="V693" s="14"/>
    </row>
    <row r="694" ht="15.75" customHeight="1">
      <c r="V694" s="14"/>
    </row>
    <row r="695" ht="15.75" customHeight="1">
      <c r="V695" s="14"/>
    </row>
    <row r="696" ht="15.75" customHeight="1">
      <c r="V696" s="14"/>
    </row>
    <row r="697" ht="15.75" customHeight="1">
      <c r="V697" s="14"/>
    </row>
    <row r="698" ht="15.75" customHeight="1">
      <c r="V698" s="14"/>
    </row>
    <row r="699" ht="15.75" customHeight="1">
      <c r="V699" s="14"/>
    </row>
    <row r="700" ht="15.75" customHeight="1">
      <c r="V700" s="14"/>
    </row>
    <row r="701" ht="15.75" customHeight="1">
      <c r="V701" s="14"/>
    </row>
    <row r="702" ht="15.75" customHeight="1">
      <c r="V702" s="14"/>
    </row>
    <row r="703" ht="15.75" customHeight="1">
      <c r="V703" s="14"/>
    </row>
    <row r="704" ht="15.75" customHeight="1">
      <c r="V704" s="14"/>
    </row>
    <row r="705" ht="15.75" customHeight="1">
      <c r="V705" s="14"/>
    </row>
    <row r="706" ht="15.75" customHeight="1">
      <c r="V706" s="14"/>
    </row>
    <row r="707" ht="15.75" customHeight="1">
      <c r="V707" s="14"/>
    </row>
    <row r="708" ht="15.75" customHeight="1">
      <c r="V708" s="14"/>
    </row>
    <row r="709" ht="15.75" customHeight="1">
      <c r="V709" s="14"/>
    </row>
    <row r="710" ht="15.75" customHeight="1">
      <c r="V710" s="14"/>
    </row>
    <row r="711" ht="15.75" customHeight="1">
      <c r="V711" s="14"/>
    </row>
    <row r="712" ht="15.75" customHeight="1">
      <c r="V712" s="14"/>
    </row>
    <row r="713" ht="15.75" customHeight="1">
      <c r="V713" s="14"/>
    </row>
    <row r="714" ht="15.75" customHeight="1">
      <c r="V714" s="14"/>
    </row>
    <row r="715" ht="15.75" customHeight="1">
      <c r="V715" s="14"/>
    </row>
    <row r="716" ht="15.75" customHeight="1">
      <c r="V716" s="14"/>
    </row>
    <row r="717" ht="15.75" customHeight="1">
      <c r="V717" s="14"/>
    </row>
    <row r="718" ht="15.75" customHeight="1">
      <c r="V718" s="14"/>
    </row>
    <row r="719" ht="15.75" customHeight="1">
      <c r="V719" s="14"/>
    </row>
    <row r="720" ht="15.75" customHeight="1">
      <c r="V720" s="14"/>
    </row>
    <row r="721" ht="15.75" customHeight="1">
      <c r="V721" s="14"/>
    </row>
    <row r="722" ht="15.75" customHeight="1">
      <c r="V722" s="14"/>
    </row>
    <row r="723" ht="15.75" customHeight="1">
      <c r="V723" s="14"/>
    </row>
    <row r="724" ht="15.75" customHeight="1">
      <c r="V724" s="14"/>
    </row>
    <row r="725" ht="15.75" customHeight="1">
      <c r="V725" s="14"/>
    </row>
    <row r="726" ht="15.75" customHeight="1">
      <c r="V726" s="14"/>
    </row>
    <row r="727" ht="15.75" customHeight="1">
      <c r="V727" s="14"/>
    </row>
    <row r="728" ht="15.75" customHeight="1">
      <c r="V728" s="14"/>
    </row>
    <row r="729" ht="15.75" customHeight="1">
      <c r="V729" s="14"/>
    </row>
    <row r="730" ht="15.75" customHeight="1">
      <c r="V730" s="14"/>
    </row>
    <row r="731" ht="15.75" customHeight="1">
      <c r="V731" s="14"/>
    </row>
    <row r="732" ht="15.75" customHeight="1">
      <c r="V732" s="14"/>
    </row>
    <row r="733" ht="15.75" customHeight="1">
      <c r="V733" s="14"/>
    </row>
    <row r="734" ht="15.75" customHeight="1">
      <c r="V734" s="14"/>
    </row>
    <row r="735" ht="15.75" customHeight="1">
      <c r="V735" s="14"/>
    </row>
    <row r="736" ht="15.75" customHeight="1">
      <c r="V736" s="14"/>
    </row>
    <row r="737" ht="15.75" customHeight="1">
      <c r="V737" s="14"/>
    </row>
    <row r="738" ht="15.75" customHeight="1">
      <c r="V738" s="14"/>
    </row>
    <row r="739" ht="15.75" customHeight="1">
      <c r="V739" s="14"/>
    </row>
    <row r="740" ht="15.75" customHeight="1">
      <c r="V740" s="14"/>
    </row>
    <row r="741" ht="15.75" customHeight="1">
      <c r="V741" s="14"/>
    </row>
    <row r="742" ht="15.75" customHeight="1">
      <c r="V742" s="14"/>
    </row>
    <row r="743" ht="15.75" customHeight="1">
      <c r="V743" s="14"/>
    </row>
    <row r="744" ht="15.75" customHeight="1">
      <c r="V744" s="14"/>
    </row>
    <row r="745" ht="15.75" customHeight="1">
      <c r="V745" s="14"/>
    </row>
    <row r="746" ht="15.75" customHeight="1">
      <c r="V746" s="14"/>
    </row>
    <row r="747" ht="15.75" customHeight="1">
      <c r="V747" s="14"/>
    </row>
    <row r="748" ht="15.75" customHeight="1">
      <c r="V748" s="14"/>
    </row>
    <row r="749" ht="15.75" customHeight="1">
      <c r="V749" s="14"/>
    </row>
    <row r="750" ht="15.75" customHeight="1">
      <c r="V750" s="14"/>
    </row>
    <row r="751" ht="15.75" customHeight="1">
      <c r="V751" s="14"/>
    </row>
    <row r="752" ht="15.75" customHeight="1">
      <c r="V752" s="14"/>
    </row>
    <row r="753" ht="15.75" customHeight="1">
      <c r="V753" s="14"/>
    </row>
    <row r="754" ht="15.75" customHeight="1">
      <c r="V754" s="14"/>
    </row>
    <row r="755" ht="15.75" customHeight="1">
      <c r="V755" s="14"/>
    </row>
    <row r="756" ht="15.75" customHeight="1">
      <c r="V756" s="14"/>
    </row>
    <row r="757" ht="15.75" customHeight="1">
      <c r="V757" s="14"/>
    </row>
    <row r="758" ht="15.75" customHeight="1">
      <c r="V758" s="14"/>
    </row>
    <row r="759" ht="15.75" customHeight="1">
      <c r="V759" s="14"/>
    </row>
    <row r="760" ht="15.75" customHeight="1">
      <c r="V760" s="14"/>
    </row>
    <row r="761" ht="15.75" customHeight="1">
      <c r="V761" s="14"/>
    </row>
    <row r="762" ht="15.75" customHeight="1">
      <c r="V762" s="14"/>
    </row>
    <row r="763" ht="15.75" customHeight="1">
      <c r="V763" s="14"/>
    </row>
    <row r="764" ht="15.75" customHeight="1">
      <c r="V764" s="14"/>
    </row>
    <row r="765" ht="15.75" customHeight="1">
      <c r="V765" s="14"/>
    </row>
    <row r="766" ht="15.75" customHeight="1">
      <c r="V766" s="14"/>
    </row>
    <row r="767" ht="15.75" customHeight="1">
      <c r="V767" s="14"/>
    </row>
    <row r="768" ht="15.75" customHeight="1">
      <c r="V768" s="14"/>
    </row>
    <row r="769" ht="15.75" customHeight="1">
      <c r="V769" s="14"/>
    </row>
    <row r="770" ht="15.75" customHeight="1">
      <c r="V770" s="14"/>
    </row>
    <row r="771" ht="15.75" customHeight="1">
      <c r="V771" s="14"/>
    </row>
    <row r="772" ht="15.75" customHeight="1">
      <c r="V772" s="14"/>
    </row>
    <row r="773" ht="15.75" customHeight="1">
      <c r="V773" s="14"/>
    </row>
    <row r="774" ht="15.75" customHeight="1">
      <c r="V774" s="14"/>
    </row>
    <row r="775" ht="15.75" customHeight="1">
      <c r="V775" s="14"/>
    </row>
    <row r="776" ht="15.75" customHeight="1">
      <c r="V776" s="14"/>
    </row>
    <row r="777" ht="15.75" customHeight="1">
      <c r="V777" s="14"/>
    </row>
    <row r="778" ht="15.75" customHeight="1">
      <c r="V778" s="14"/>
    </row>
    <row r="779" ht="15.75" customHeight="1">
      <c r="V779" s="14"/>
    </row>
    <row r="780" ht="15.75" customHeight="1">
      <c r="V780" s="14"/>
    </row>
    <row r="781" ht="15.75" customHeight="1">
      <c r="V781" s="14"/>
    </row>
    <row r="782" ht="15.75" customHeight="1">
      <c r="V782" s="14"/>
    </row>
    <row r="783" ht="15.75" customHeight="1">
      <c r="V783" s="14"/>
    </row>
    <row r="784" ht="15.75" customHeight="1">
      <c r="V784" s="14"/>
    </row>
    <row r="785" ht="15.75" customHeight="1">
      <c r="V785" s="14"/>
    </row>
    <row r="786" ht="15.75" customHeight="1">
      <c r="V786" s="14"/>
    </row>
    <row r="787" ht="15.75" customHeight="1">
      <c r="V787" s="14"/>
    </row>
    <row r="788" ht="15.75" customHeight="1">
      <c r="V788" s="14"/>
    </row>
    <row r="789" ht="15.75" customHeight="1">
      <c r="V789" s="14"/>
    </row>
    <row r="790" ht="15.75" customHeight="1">
      <c r="V790" s="14"/>
    </row>
    <row r="791" ht="15.75" customHeight="1">
      <c r="V791" s="14"/>
    </row>
    <row r="792" ht="15.75" customHeight="1">
      <c r="V792" s="14"/>
    </row>
    <row r="793" ht="15.75" customHeight="1">
      <c r="V793" s="14"/>
    </row>
    <row r="794" ht="15.75" customHeight="1">
      <c r="V794" s="14"/>
    </row>
    <row r="795" ht="15.75" customHeight="1">
      <c r="V795" s="14"/>
    </row>
    <row r="796" ht="15.75" customHeight="1">
      <c r="V796" s="14"/>
    </row>
    <row r="797" ht="15.75" customHeight="1">
      <c r="V797" s="14"/>
    </row>
    <row r="798" ht="15.75" customHeight="1">
      <c r="V798" s="14"/>
    </row>
    <row r="799" ht="15.75" customHeight="1">
      <c r="V799" s="14"/>
    </row>
    <row r="800" ht="15.75" customHeight="1">
      <c r="V800" s="14"/>
    </row>
    <row r="801" ht="15.75" customHeight="1">
      <c r="V801" s="14"/>
    </row>
    <row r="802" ht="15.75" customHeight="1">
      <c r="V802" s="14"/>
    </row>
    <row r="803" ht="15.75" customHeight="1">
      <c r="V803" s="14"/>
    </row>
    <row r="804" ht="15.75" customHeight="1">
      <c r="V804" s="14"/>
    </row>
    <row r="805" ht="15.75" customHeight="1">
      <c r="V805" s="14"/>
    </row>
    <row r="806" ht="15.75" customHeight="1">
      <c r="V806" s="14"/>
    </row>
    <row r="807" ht="15.75" customHeight="1">
      <c r="V807" s="14"/>
    </row>
    <row r="808" ht="15.75" customHeight="1">
      <c r="V808" s="14"/>
    </row>
    <row r="809" ht="15.75" customHeight="1">
      <c r="V809" s="14"/>
    </row>
    <row r="810" ht="15.75" customHeight="1">
      <c r="V810" s="14"/>
    </row>
    <row r="811" ht="15.75" customHeight="1">
      <c r="V811" s="14"/>
    </row>
    <row r="812" ht="15.75" customHeight="1">
      <c r="V812" s="14"/>
    </row>
    <row r="813" ht="15.75" customHeight="1">
      <c r="V813" s="14"/>
    </row>
    <row r="814" ht="15.75" customHeight="1">
      <c r="V814" s="14"/>
    </row>
    <row r="815" ht="15.75" customHeight="1">
      <c r="V815" s="14"/>
    </row>
    <row r="816" ht="15.75" customHeight="1">
      <c r="V816" s="14"/>
    </row>
    <row r="817" ht="15.75" customHeight="1">
      <c r="V817" s="14"/>
    </row>
    <row r="818" ht="15.75" customHeight="1">
      <c r="V818" s="14"/>
    </row>
    <row r="819" ht="15.75" customHeight="1">
      <c r="V819" s="14"/>
    </row>
    <row r="820" ht="15.75" customHeight="1">
      <c r="V820" s="14"/>
    </row>
    <row r="821" ht="15.75" customHeight="1">
      <c r="V821" s="14"/>
    </row>
    <row r="822" ht="15.75" customHeight="1">
      <c r="V822" s="14"/>
    </row>
    <row r="823" ht="15.75" customHeight="1">
      <c r="V823" s="14"/>
    </row>
    <row r="824" ht="15.75" customHeight="1">
      <c r="V824" s="14"/>
    </row>
    <row r="825" ht="15.75" customHeight="1">
      <c r="V825" s="14"/>
    </row>
    <row r="826" ht="15.75" customHeight="1">
      <c r="V826" s="14"/>
    </row>
    <row r="827" ht="15.75" customHeight="1">
      <c r="V827" s="14"/>
    </row>
    <row r="828" ht="15.75" customHeight="1">
      <c r="V828" s="14"/>
    </row>
    <row r="829" ht="15.75" customHeight="1">
      <c r="V829" s="14"/>
    </row>
    <row r="830" ht="15.75" customHeight="1">
      <c r="V830" s="14"/>
    </row>
    <row r="831" ht="15.75" customHeight="1">
      <c r="V831" s="14"/>
    </row>
    <row r="832" ht="15.75" customHeight="1">
      <c r="V832" s="14"/>
    </row>
    <row r="833" ht="15.75" customHeight="1">
      <c r="V833" s="14"/>
    </row>
    <row r="834" ht="15.75" customHeight="1">
      <c r="V834" s="14"/>
    </row>
    <row r="835" ht="15.75" customHeight="1">
      <c r="V835" s="14"/>
    </row>
    <row r="836" ht="15.75" customHeight="1">
      <c r="V836" s="14"/>
    </row>
    <row r="837" ht="15.75" customHeight="1">
      <c r="V837" s="14"/>
    </row>
    <row r="838" ht="15.75" customHeight="1">
      <c r="V838" s="14"/>
    </row>
    <row r="839" ht="15.75" customHeight="1">
      <c r="V839" s="14"/>
    </row>
    <row r="840" ht="15.75" customHeight="1">
      <c r="V840" s="14"/>
    </row>
    <row r="841" ht="15.75" customHeight="1">
      <c r="V841" s="14"/>
    </row>
    <row r="842" ht="15.75" customHeight="1">
      <c r="V842" s="14"/>
    </row>
    <row r="843" ht="15.75" customHeight="1">
      <c r="V843" s="14"/>
    </row>
    <row r="844" ht="15.75" customHeight="1">
      <c r="V844" s="14"/>
    </row>
    <row r="845" ht="15.75" customHeight="1">
      <c r="V845" s="14"/>
    </row>
    <row r="846" ht="15.75" customHeight="1">
      <c r="V846" s="14"/>
    </row>
    <row r="847" ht="15.75" customHeight="1">
      <c r="V847" s="14"/>
    </row>
    <row r="848" ht="15.75" customHeight="1">
      <c r="V848" s="14"/>
    </row>
    <row r="849" ht="15.75" customHeight="1">
      <c r="V849" s="14"/>
    </row>
    <row r="850" ht="15.75" customHeight="1">
      <c r="V850" s="14"/>
    </row>
    <row r="851" ht="15.75" customHeight="1">
      <c r="V851" s="14"/>
    </row>
    <row r="852" ht="15.75" customHeight="1">
      <c r="V852" s="14"/>
    </row>
    <row r="853" ht="15.75" customHeight="1">
      <c r="V853" s="14"/>
    </row>
    <row r="854" ht="15.75" customHeight="1">
      <c r="V854" s="14"/>
    </row>
    <row r="855" ht="15.75" customHeight="1">
      <c r="V855" s="14"/>
    </row>
    <row r="856" ht="15.75" customHeight="1">
      <c r="V856" s="14"/>
    </row>
    <row r="857" ht="15.75" customHeight="1">
      <c r="V857" s="14"/>
    </row>
    <row r="858" ht="15.75" customHeight="1">
      <c r="V858" s="14"/>
    </row>
    <row r="859" ht="15.75" customHeight="1">
      <c r="V859" s="14"/>
    </row>
    <row r="860" ht="15.75" customHeight="1">
      <c r="V860" s="14"/>
    </row>
    <row r="861" ht="15.75" customHeight="1">
      <c r="V861" s="14"/>
    </row>
    <row r="862" ht="15.75" customHeight="1">
      <c r="V862" s="14"/>
    </row>
    <row r="863" ht="15.75" customHeight="1">
      <c r="V863" s="14"/>
    </row>
    <row r="864" ht="15.75" customHeight="1">
      <c r="V864" s="14"/>
    </row>
    <row r="865" ht="15.75" customHeight="1">
      <c r="V865" s="14"/>
    </row>
    <row r="866" ht="15.75" customHeight="1">
      <c r="V866" s="14"/>
    </row>
    <row r="867" ht="15.75" customHeight="1">
      <c r="V867" s="14"/>
    </row>
    <row r="868" ht="15.75" customHeight="1">
      <c r="V868" s="14"/>
    </row>
    <row r="869" ht="15.75" customHeight="1">
      <c r="V869" s="14"/>
    </row>
    <row r="870" ht="15.75" customHeight="1">
      <c r="V870" s="14"/>
    </row>
    <row r="871" ht="15.75" customHeight="1">
      <c r="V871" s="14"/>
    </row>
    <row r="872" ht="15.75" customHeight="1">
      <c r="V872" s="14"/>
    </row>
    <row r="873" ht="15.75" customHeight="1">
      <c r="V873" s="14"/>
    </row>
    <row r="874" ht="15.75" customHeight="1">
      <c r="V874" s="14"/>
    </row>
    <row r="875" ht="15.75" customHeight="1">
      <c r="V875" s="14"/>
    </row>
    <row r="876" ht="15.75" customHeight="1">
      <c r="V876" s="14"/>
    </row>
    <row r="877" ht="15.75" customHeight="1">
      <c r="V877" s="14"/>
    </row>
    <row r="878" ht="15.75" customHeight="1">
      <c r="V878" s="14"/>
    </row>
    <row r="879" ht="15.75" customHeight="1">
      <c r="V879" s="14"/>
    </row>
    <row r="880" ht="15.75" customHeight="1">
      <c r="V880" s="14"/>
    </row>
    <row r="881" ht="15.75" customHeight="1">
      <c r="V881" s="14"/>
    </row>
    <row r="882" ht="15.75" customHeight="1">
      <c r="V882" s="14"/>
    </row>
    <row r="883" ht="15.75" customHeight="1">
      <c r="V883" s="14"/>
    </row>
    <row r="884" ht="15.75" customHeight="1">
      <c r="V884" s="14"/>
    </row>
    <row r="885" ht="15.75" customHeight="1">
      <c r="V885" s="14"/>
    </row>
    <row r="886" ht="15.75" customHeight="1">
      <c r="V886" s="14"/>
    </row>
    <row r="887" ht="15.75" customHeight="1">
      <c r="V887" s="14"/>
    </row>
    <row r="888" ht="15.75" customHeight="1">
      <c r="V888" s="14"/>
    </row>
    <row r="889" ht="15.75" customHeight="1">
      <c r="V889" s="14"/>
    </row>
    <row r="890" ht="15.75" customHeight="1">
      <c r="V890" s="14"/>
    </row>
    <row r="891" ht="15.75" customHeight="1">
      <c r="V891" s="14"/>
    </row>
    <row r="892" ht="15.75" customHeight="1">
      <c r="V892" s="14"/>
    </row>
    <row r="893" ht="15.75" customHeight="1">
      <c r="V893" s="14"/>
    </row>
    <row r="894" ht="15.75" customHeight="1">
      <c r="V894" s="14"/>
    </row>
    <row r="895" ht="15.75" customHeight="1">
      <c r="V895" s="14"/>
    </row>
    <row r="896" ht="15.75" customHeight="1">
      <c r="V896" s="14"/>
    </row>
    <row r="897" ht="15.75" customHeight="1">
      <c r="V897" s="14"/>
    </row>
    <row r="898" ht="15.75" customHeight="1">
      <c r="V898" s="14"/>
    </row>
    <row r="899" ht="15.75" customHeight="1">
      <c r="V899" s="14"/>
    </row>
    <row r="900" ht="15.75" customHeight="1">
      <c r="V900" s="14"/>
    </row>
    <row r="901" ht="15.75" customHeight="1">
      <c r="V901" s="14"/>
    </row>
    <row r="902" ht="15.75" customHeight="1">
      <c r="V902" s="14"/>
    </row>
    <row r="903" ht="15.75" customHeight="1">
      <c r="V903" s="14"/>
    </row>
    <row r="904" ht="15.75" customHeight="1">
      <c r="V904" s="14"/>
    </row>
    <row r="905" ht="15.75" customHeight="1">
      <c r="V905" s="14"/>
    </row>
    <row r="906" ht="15.75" customHeight="1">
      <c r="V906" s="14"/>
    </row>
    <row r="907" ht="15.75" customHeight="1">
      <c r="V907" s="14"/>
    </row>
    <row r="908" ht="15.75" customHeight="1">
      <c r="V908" s="14"/>
    </row>
    <row r="909" ht="15.75" customHeight="1">
      <c r="V909" s="14"/>
    </row>
    <row r="910" ht="15.75" customHeight="1">
      <c r="V910" s="14"/>
    </row>
    <row r="911" ht="15.75" customHeight="1">
      <c r="V911" s="14"/>
    </row>
    <row r="912" ht="15.75" customHeight="1">
      <c r="V912" s="14"/>
    </row>
    <row r="913" ht="15.75" customHeight="1">
      <c r="V913" s="14"/>
    </row>
    <row r="914" ht="15.75" customHeight="1">
      <c r="V914" s="14"/>
    </row>
    <row r="915" ht="15.75" customHeight="1">
      <c r="V915" s="14"/>
    </row>
    <row r="916" ht="15.75" customHeight="1">
      <c r="V916" s="14"/>
    </row>
    <row r="917" ht="15.75" customHeight="1">
      <c r="V917" s="14"/>
    </row>
    <row r="918" ht="15.75" customHeight="1">
      <c r="V918" s="14"/>
    </row>
    <row r="919" ht="15.75" customHeight="1">
      <c r="V919" s="14"/>
    </row>
    <row r="920" ht="15.75" customHeight="1">
      <c r="V920" s="14"/>
    </row>
    <row r="921" ht="15.75" customHeight="1">
      <c r="V921" s="14"/>
    </row>
    <row r="922" ht="15.75" customHeight="1">
      <c r="V922" s="14"/>
    </row>
    <row r="923" ht="15.75" customHeight="1">
      <c r="V923" s="14"/>
    </row>
    <row r="924" ht="15.75" customHeight="1">
      <c r="V924" s="14"/>
    </row>
    <row r="925" ht="15.75" customHeight="1">
      <c r="V925" s="14"/>
    </row>
    <row r="926" ht="15.75" customHeight="1">
      <c r="V926" s="14"/>
    </row>
    <row r="927" ht="15.75" customHeight="1">
      <c r="V927" s="14"/>
    </row>
    <row r="928" ht="15.75" customHeight="1">
      <c r="V928" s="14"/>
    </row>
    <row r="929" ht="15.75" customHeight="1">
      <c r="V929" s="14"/>
    </row>
    <row r="930" ht="15.75" customHeight="1">
      <c r="V930" s="14"/>
    </row>
    <row r="931" ht="15.75" customHeight="1">
      <c r="V931" s="14"/>
    </row>
    <row r="932" ht="15.75" customHeight="1">
      <c r="V932" s="14"/>
    </row>
    <row r="933" ht="15.75" customHeight="1">
      <c r="V933" s="14"/>
    </row>
    <row r="934" ht="15.75" customHeight="1">
      <c r="V934" s="14"/>
    </row>
    <row r="935" ht="15.75" customHeight="1">
      <c r="V935" s="14"/>
    </row>
    <row r="936" ht="15.75" customHeight="1">
      <c r="V936" s="14"/>
    </row>
    <row r="937" ht="15.75" customHeight="1">
      <c r="V937" s="14"/>
    </row>
    <row r="938" ht="15.75" customHeight="1">
      <c r="V938" s="14"/>
    </row>
    <row r="939" ht="15.75" customHeight="1">
      <c r="V939" s="14"/>
    </row>
    <row r="940" ht="15.75" customHeight="1">
      <c r="V940" s="14"/>
    </row>
    <row r="941" ht="15.75" customHeight="1">
      <c r="V941" s="14"/>
    </row>
    <row r="942" ht="15.75" customHeight="1">
      <c r="V942" s="14"/>
    </row>
    <row r="943" ht="15.75" customHeight="1">
      <c r="V943" s="14"/>
    </row>
    <row r="944" ht="15.75" customHeight="1">
      <c r="V944" s="14"/>
    </row>
    <row r="945" ht="15.75" customHeight="1">
      <c r="V945" s="14"/>
    </row>
    <row r="946" ht="15.75" customHeight="1">
      <c r="V946" s="14"/>
    </row>
    <row r="947" ht="15.75" customHeight="1">
      <c r="V947" s="14"/>
    </row>
    <row r="948" ht="15.75" customHeight="1">
      <c r="V948" s="14"/>
    </row>
    <row r="949" ht="15.75" customHeight="1">
      <c r="V949" s="14"/>
    </row>
    <row r="950" ht="15.75" customHeight="1">
      <c r="V950" s="14"/>
    </row>
    <row r="951" ht="15.75" customHeight="1">
      <c r="V951" s="14"/>
    </row>
    <row r="952" ht="15.75" customHeight="1">
      <c r="V952" s="14"/>
    </row>
    <row r="953" ht="15.75" customHeight="1">
      <c r="V953" s="14"/>
    </row>
    <row r="954" ht="15.75" customHeight="1">
      <c r="V954" s="14"/>
    </row>
    <row r="955" ht="15.75" customHeight="1">
      <c r="V955" s="14"/>
    </row>
    <row r="956" ht="15.75" customHeight="1">
      <c r="V956" s="14"/>
    </row>
    <row r="957" ht="15.75" customHeight="1">
      <c r="V957" s="14"/>
    </row>
    <row r="958" ht="15.75" customHeight="1">
      <c r="V958" s="14"/>
    </row>
    <row r="959" ht="15.75" customHeight="1">
      <c r="V959" s="14"/>
    </row>
    <row r="960" ht="15.75" customHeight="1">
      <c r="V960" s="14"/>
    </row>
    <row r="961" ht="15.75" customHeight="1">
      <c r="V961" s="14"/>
    </row>
    <row r="962" ht="15.75" customHeight="1">
      <c r="V962" s="14"/>
    </row>
    <row r="963" ht="15.75" customHeight="1">
      <c r="V963" s="14"/>
    </row>
    <row r="964" ht="15.75" customHeight="1">
      <c r="V964" s="14"/>
    </row>
    <row r="965" ht="15.75" customHeight="1">
      <c r="V965" s="14"/>
    </row>
    <row r="966" ht="15.75" customHeight="1">
      <c r="V966" s="14"/>
    </row>
    <row r="967" ht="15.75" customHeight="1">
      <c r="V967" s="14"/>
    </row>
    <row r="968" ht="15.75" customHeight="1">
      <c r="V968" s="14"/>
    </row>
    <row r="969" ht="15.75" customHeight="1">
      <c r="V969" s="14"/>
    </row>
    <row r="970" ht="15.75" customHeight="1">
      <c r="V970" s="14"/>
    </row>
    <row r="971" ht="15.75" customHeight="1">
      <c r="V971" s="14"/>
    </row>
    <row r="972" ht="15.75" customHeight="1">
      <c r="V972" s="14"/>
    </row>
    <row r="973" ht="15.75" customHeight="1">
      <c r="V973" s="14"/>
    </row>
    <row r="974" ht="15.75" customHeight="1">
      <c r="V974" s="14"/>
    </row>
    <row r="975" ht="15.75" customHeight="1">
      <c r="V975" s="14"/>
    </row>
    <row r="976" ht="15.75" customHeight="1">
      <c r="V976" s="14"/>
    </row>
    <row r="977" ht="15.75" customHeight="1">
      <c r="V977" s="14"/>
    </row>
    <row r="978" ht="15.75" customHeight="1">
      <c r="V978" s="14"/>
    </row>
    <row r="979" ht="15.75" customHeight="1">
      <c r="V979" s="14"/>
    </row>
    <row r="980" ht="15.75" customHeight="1">
      <c r="V980" s="14"/>
    </row>
    <row r="981" ht="15.75" customHeight="1">
      <c r="V981" s="14"/>
    </row>
    <row r="982" ht="15.75" customHeight="1">
      <c r="V982" s="14"/>
    </row>
    <row r="983" ht="15.75" customHeight="1">
      <c r="V983" s="14"/>
    </row>
    <row r="984" ht="15.75" customHeight="1">
      <c r="V984" s="14"/>
    </row>
    <row r="985" ht="15.75" customHeight="1">
      <c r="V985" s="14"/>
    </row>
    <row r="986" ht="15.75" customHeight="1">
      <c r="V986" s="14"/>
    </row>
    <row r="987" ht="15.75" customHeight="1">
      <c r="V987" s="14"/>
    </row>
    <row r="988" ht="15.75" customHeight="1">
      <c r="V988" s="14"/>
    </row>
    <row r="989" ht="15.75" customHeight="1">
      <c r="V989" s="14"/>
    </row>
    <row r="990" ht="15.75" customHeight="1">
      <c r="V990" s="14"/>
    </row>
    <row r="991" ht="15.75" customHeight="1">
      <c r="V991" s="14"/>
    </row>
    <row r="992" ht="15.75" customHeight="1">
      <c r="V992" s="14"/>
    </row>
    <row r="993" ht="15.75" customHeight="1">
      <c r="V993" s="14"/>
    </row>
    <row r="994" ht="15.75" customHeight="1">
      <c r="V994" s="14"/>
    </row>
    <row r="995" ht="15.75" customHeight="1">
      <c r="V995" s="14"/>
    </row>
    <row r="996" ht="15.75" customHeight="1">
      <c r="V996" s="14"/>
    </row>
    <row r="997" ht="15.75" customHeight="1">
      <c r="V997" s="14"/>
    </row>
    <row r="998" ht="15.75" customHeight="1">
      <c r="V998" s="14"/>
    </row>
    <row r="999" ht="15.75" customHeight="1">
      <c r="V999" s="14"/>
    </row>
    <row r="1000" ht="15.75" customHeight="1">
      <c r="V1000" s="14"/>
    </row>
  </sheetData>
  <autoFilter ref="$A$1:$X$5"/>
  <dataValidations>
    <dataValidation type="list" allowBlank="1" sqref="T2:T5">
      <formula1>"approve,approve with my value,reject,ask AEA,skip for now"</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2.0"/>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33</v>
      </c>
      <c r="B2" s="4">
        <v>1197.0</v>
      </c>
      <c r="C2" s="4">
        <v>507.0</v>
      </c>
      <c r="D2" s="4" t="s">
        <v>35</v>
      </c>
      <c r="E2" s="4" t="s">
        <v>36</v>
      </c>
      <c r="F2" s="4" t="s">
        <v>37</v>
      </c>
      <c r="G2" s="4">
        <v>63.999927</v>
      </c>
      <c r="H2" s="4">
        <v>-144.731094</v>
      </c>
      <c r="I2" s="4">
        <v>63.999927</v>
      </c>
      <c r="J2" s="4">
        <v>-145.731094</v>
      </c>
      <c r="K2" s="4" t="s">
        <v>38</v>
      </c>
      <c r="L2" s="4" t="s">
        <v>39</v>
      </c>
      <c r="M2" s="4" t="s">
        <v>40</v>
      </c>
      <c r="N2" s="6" t="s">
        <v>41</v>
      </c>
      <c r="O2" s="4" t="s">
        <v>42</v>
      </c>
      <c r="P2" s="4">
        <v>63.99988</v>
      </c>
      <c r="Q2" s="4">
        <v>-144.73108</v>
      </c>
      <c r="R2" s="8" t="str">
        <f>HYPERLINK("https://www.google.com/maps?q=63.999927,-144.731094","map: stored")</f>
        <v>map: stored</v>
      </c>
      <c r="S2" s="8" t="str">
        <f>HYPERLINK("https://www.google.com/maps?q=63.999927,-145.731094","map: proposed")</f>
        <v>map: proposed</v>
      </c>
      <c r="T2" s="9" t="s">
        <v>24</v>
      </c>
      <c r="U2" s="9" t="s">
        <v>66</v>
      </c>
      <c r="V2" s="10" t="s">
        <v>68</v>
      </c>
      <c r="W2" s="9" t="s">
        <v>69</v>
      </c>
      <c r="X2" s="11">
        <v>46300.0</v>
      </c>
    </row>
    <row r="3">
      <c r="A3" s="4" t="s">
        <v>70</v>
      </c>
      <c r="B3" s="4">
        <v>815.0</v>
      </c>
      <c r="C3" s="4">
        <v>1365.0</v>
      </c>
      <c r="D3" s="4" t="s">
        <v>71</v>
      </c>
      <c r="E3" s="4" t="s">
        <v>72</v>
      </c>
      <c r="F3" s="4" t="s">
        <v>54</v>
      </c>
      <c r="G3" s="4">
        <v>56.236042</v>
      </c>
      <c r="H3" s="4">
        <v>-132.981428</v>
      </c>
      <c r="I3" s="4">
        <v>56.736042</v>
      </c>
      <c r="J3" s="4">
        <v>-132.981428</v>
      </c>
      <c r="K3" s="4" t="s">
        <v>73</v>
      </c>
      <c r="L3" s="4" t="s">
        <v>74</v>
      </c>
      <c r="M3" s="4" t="s">
        <v>40</v>
      </c>
      <c r="N3" s="6" t="s">
        <v>75</v>
      </c>
      <c r="O3" s="4" t="s">
        <v>42</v>
      </c>
      <c r="P3" s="4">
        <v>56.23608</v>
      </c>
      <c r="Q3" s="4">
        <v>-132.98138</v>
      </c>
      <c r="R3" s="8" t="str">
        <f>HYPERLINK("https://www.google.com/maps?q=56.236042,-132.981428","map: stored")</f>
        <v>map: stored</v>
      </c>
      <c r="S3" s="8" t="str">
        <f>HYPERLINK("https://www.google.com/maps?q=56.736042,-132.981428","map: proposed")</f>
        <v>map: proposed</v>
      </c>
      <c r="T3" s="9" t="s">
        <v>24</v>
      </c>
      <c r="U3" s="12"/>
      <c r="V3" s="10" t="s">
        <v>76</v>
      </c>
      <c r="W3" s="9" t="s">
        <v>69</v>
      </c>
      <c r="X3" s="11">
        <v>46300.0</v>
      </c>
    </row>
    <row r="4">
      <c r="A4" s="4" t="s">
        <v>81</v>
      </c>
      <c r="B4" s="4">
        <v>452.0</v>
      </c>
      <c r="C4" s="4">
        <v>1369.0</v>
      </c>
      <c r="D4" s="4" t="s">
        <v>83</v>
      </c>
      <c r="E4" s="4" t="s">
        <v>84</v>
      </c>
      <c r="F4" s="4" t="s">
        <v>37</v>
      </c>
      <c r="G4" s="4">
        <v>57.578333</v>
      </c>
      <c r="H4" s="4">
        <v>-157.053889</v>
      </c>
      <c r="I4" s="4">
        <v>57.578333</v>
      </c>
      <c r="J4" s="4">
        <v>-157.453889</v>
      </c>
      <c r="K4" s="4" t="s">
        <v>86</v>
      </c>
      <c r="L4" s="4" t="s">
        <v>87</v>
      </c>
      <c r="M4" s="4" t="s">
        <v>40</v>
      </c>
      <c r="N4" s="6" t="s">
        <v>89</v>
      </c>
      <c r="O4" s="4" t="s">
        <v>42</v>
      </c>
      <c r="P4" s="4">
        <v>57.57831</v>
      </c>
      <c r="Q4" s="4">
        <v>-157.05389</v>
      </c>
      <c r="R4" s="8" t="str">
        <f>HYPERLINK("https://www.google.com/maps?q=57.578333,-157.053889","map: stored")</f>
        <v>map: stored</v>
      </c>
      <c r="S4" s="8" t="str">
        <f>HYPERLINK("https://www.google.com/maps?q=57.578333,-157.453889","map: proposed")</f>
        <v>map: proposed</v>
      </c>
      <c r="T4" s="9" t="s">
        <v>24</v>
      </c>
      <c r="U4" s="12"/>
      <c r="V4" s="9" t="s">
        <v>92</v>
      </c>
      <c r="W4" s="9" t="s">
        <v>69</v>
      </c>
      <c r="X4" s="11">
        <v>46300.0</v>
      </c>
    </row>
    <row r="5">
      <c r="A5" s="4" t="s">
        <v>93</v>
      </c>
      <c r="B5" s="4">
        <v>622.0</v>
      </c>
      <c r="C5" s="4">
        <v>1833.0</v>
      </c>
      <c r="D5" s="4" t="s">
        <v>94</v>
      </c>
      <c r="E5" s="4" t="s">
        <v>95</v>
      </c>
      <c r="F5" s="4" t="s">
        <v>54</v>
      </c>
      <c r="G5" s="4">
        <v>56.136278</v>
      </c>
      <c r="H5" s="4">
        <v>-132.404917</v>
      </c>
      <c r="I5" s="4">
        <v>56.436278</v>
      </c>
      <c r="J5" s="4">
        <v>-132.404917</v>
      </c>
      <c r="K5" s="4" t="s">
        <v>96</v>
      </c>
      <c r="L5" s="4" t="s">
        <v>97</v>
      </c>
      <c r="M5" s="4" t="s">
        <v>40</v>
      </c>
      <c r="N5" s="6" t="s">
        <v>98</v>
      </c>
      <c r="O5" s="4" t="s">
        <v>42</v>
      </c>
      <c r="P5" s="4">
        <v>56.13629</v>
      </c>
      <c r="Q5" s="4">
        <v>-132.40491</v>
      </c>
      <c r="R5" s="8" t="str">
        <f>HYPERLINK("https://www.google.com/maps?q=56.136278,-132.404917","map: stored")</f>
        <v>map: stored</v>
      </c>
      <c r="S5" s="8" t="str">
        <f>HYPERLINK("https://www.google.com/maps?q=56.436278,-132.404917","map: proposed")</f>
        <v>map: proposed</v>
      </c>
      <c r="T5" s="9" t="s">
        <v>24</v>
      </c>
      <c r="U5" s="12"/>
      <c r="V5" s="9" t="s">
        <v>106</v>
      </c>
      <c r="W5" s="9" t="s">
        <v>69</v>
      </c>
      <c r="X5" s="11">
        <v>46300.0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5"/>
  <dataValidations>
    <dataValidation type="list" allowBlank="1" sqref="T2:T5">
      <formula1>"approve,approve with my value,reject,ask AEA,skip for now"</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2.0"/>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118</v>
      </c>
      <c r="B2" s="4">
        <v>1096.0</v>
      </c>
      <c r="C2" s="4">
        <v>1770.0</v>
      </c>
      <c r="D2" s="4" t="s">
        <v>119</v>
      </c>
      <c r="E2" s="4" t="s">
        <v>120</v>
      </c>
      <c r="F2" s="4" t="s">
        <v>121</v>
      </c>
      <c r="G2" s="4">
        <v>63.89194</v>
      </c>
      <c r="H2" s="4">
        <v>-160.6842</v>
      </c>
      <c r="I2" s="4">
        <v>53.88274</v>
      </c>
      <c r="J2" s="4">
        <v>-166.550742</v>
      </c>
      <c r="K2" s="4" t="s">
        <v>122</v>
      </c>
      <c r="L2" s="4" t="s">
        <v>123</v>
      </c>
      <c r="M2" s="4" t="s">
        <v>124</v>
      </c>
      <c r="N2" s="6" t="s">
        <v>125</v>
      </c>
      <c r="O2" s="4" t="s">
        <v>42</v>
      </c>
      <c r="P2" s="4">
        <v>63.89209</v>
      </c>
      <c r="Q2" s="4">
        <v>-160.6842</v>
      </c>
      <c r="R2" s="8" t="str">
        <f>HYPERLINK("https://www.google.com/maps?q=63.891940,-160.684200","map: stored")</f>
        <v>map: stored</v>
      </c>
      <c r="S2" s="8" t="str">
        <f>HYPERLINK("https://www.google.com/maps?q=53.882740,-166.550742","map: proposed")</f>
        <v>map: proposed</v>
      </c>
      <c r="T2" s="9" t="s">
        <v>20</v>
      </c>
      <c r="U2" s="12"/>
      <c r="V2" s="9" t="s">
        <v>127</v>
      </c>
      <c r="W2" s="9" t="s">
        <v>69</v>
      </c>
      <c r="X2" s="13">
        <v>46300.0</v>
      </c>
    </row>
    <row r="3">
      <c r="A3" s="4" t="s">
        <v>128</v>
      </c>
      <c r="B3" s="4">
        <v>1255.0</v>
      </c>
      <c r="C3" s="4">
        <v>1756.0</v>
      </c>
      <c r="D3" s="4" t="s">
        <v>129</v>
      </c>
      <c r="E3" s="4" t="s">
        <v>130</v>
      </c>
      <c r="F3" s="4" t="s">
        <v>121</v>
      </c>
      <c r="G3" s="4">
        <v>53.88274</v>
      </c>
      <c r="H3" s="4">
        <v>-166.550742</v>
      </c>
      <c r="I3" s="4">
        <v>63.89194</v>
      </c>
      <c r="J3" s="4">
        <v>-160.6842</v>
      </c>
      <c r="K3" s="4" t="s">
        <v>123</v>
      </c>
      <c r="L3" s="4" t="s">
        <v>122</v>
      </c>
      <c r="M3" s="4" t="s">
        <v>124</v>
      </c>
      <c r="N3" s="6" t="s">
        <v>131</v>
      </c>
      <c r="O3" s="4" t="s">
        <v>42</v>
      </c>
      <c r="P3" s="4">
        <v>53.88287</v>
      </c>
      <c r="Q3" s="4">
        <v>-166.55072</v>
      </c>
      <c r="R3" s="8" t="str">
        <f>HYPERLINK("https://www.google.com/maps?q=53.882740,-166.550742","map: stored")</f>
        <v>map: stored</v>
      </c>
      <c r="S3" s="8" t="str">
        <f>HYPERLINK("https://www.google.com/maps?q=63.891940,-160.684200","map: proposed")</f>
        <v>map: proposed</v>
      </c>
      <c r="T3" s="9" t="s">
        <v>20</v>
      </c>
      <c r="U3" s="12"/>
      <c r="V3" s="9" t="s">
        <v>127</v>
      </c>
      <c r="W3" s="9" t="s">
        <v>69</v>
      </c>
      <c r="X3" s="13">
        <v>46300.0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3"/>
  <dataValidations>
    <dataValidation type="list" allowBlank="1" sqref="T2:T3">
      <formula1>"approve,approve with my value,reject,ask AEA,skip for now"</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2.0"/>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134</v>
      </c>
      <c r="B2" s="4">
        <v>1418.0</v>
      </c>
      <c r="C2" s="4">
        <v>481.0</v>
      </c>
      <c r="D2" s="4" t="s">
        <v>135</v>
      </c>
      <c r="E2" s="4" t="s">
        <v>136</v>
      </c>
      <c r="F2" s="4" t="s">
        <v>137</v>
      </c>
      <c r="G2" s="4">
        <v>56.017179</v>
      </c>
      <c r="H2" s="4">
        <v>-132.828041</v>
      </c>
      <c r="I2" s="4"/>
      <c r="J2" s="4"/>
      <c r="K2" s="4" t="s">
        <v>136</v>
      </c>
      <c r="L2" s="4" t="s">
        <v>138</v>
      </c>
      <c r="M2" s="4" t="s">
        <v>40</v>
      </c>
      <c r="N2" s="6" t="s">
        <v>139</v>
      </c>
      <c r="O2" s="4" t="s">
        <v>42</v>
      </c>
      <c r="P2" s="4">
        <v>56.01727</v>
      </c>
      <c r="Q2" s="4">
        <v>-132.828</v>
      </c>
      <c r="R2" s="8" t="str">
        <f>HYPERLINK("https://www.google.com/maps?q=56.017179,-132.828041","map: stored")</f>
        <v>map: stored</v>
      </c>
      <c r="S2" s="5" t="s">
        <v>140</v>
      </c>
      <c r="T2" s="12"/>
      <c r="U2" s="12"/>
      <c r="V2" s="10" t="s">
        <v>141</v>
      </c>
      <c r="W2" s="9" t="s">
        <v>69</v>
      </c>
      <c r="X2" s="15">
        <v>46300.0</v>
      </c>
    </row>
    <row r="3">
      <c r="A3" s="4" t="s">
        <v>142</v>
      </c>
      <c r="B3" s="4">
        <v>51.0</v>
      </c>
      <c r="C3" s="4">
        <v>552.0</v>
      </c>
      <c r="D3" s="4" t="s">
        <v>143</v>
      </c>
      <c r="E3" s="4" t="s">
        <v>144</v>
      </c>
      <c r="F3" s="4" t="s">
        <v>137</v>
      </c>
      <c r="G3" s="4">
        <v>61.245907</v>
      </c>
      <c r="H3" s="4">
        <v>-149.710691</v>
      </c>
      <c r="I3" s="4"/>
      <c r="J3" s="4"/>
      <c r="K3" s="4" t="s">
        <v>144</v>
      </c>
      <c r="L3" s="4" t="s">
        <v>145</v>
      </c>
      <c r="M3" s="4" t="s">
        <v>40</v>
      </c>
      <c r="N3" s="6" t="s">
        <v>146</v>
      </c>
      <c r="O3" s="4" t="s">
        <v>42</v>
      </c>
      <c r="P3" s="4">
        <v>61.24591</v>
      </c>
      <c r="Q3" s="4">
        <v>-149.71069</v>
      </c>
      <c r="R3" s="8" t="str">
        <f>HYPERLINK("https://www.google.com/maps?q=61.245907,-149.710691","map: stored")</f>
        <v>map: stored</v>
      </c>
      <c r="S3" s="5" t="s">
        <v>140</v>
      </c>
      <c r="T3" s="9" t="s">
        <v>20</v>
      </c>
      <c r="U3" s="12"/>
      <c r="V3" s="10" t="s">
        <v>147</v>
      </c>
      <c r="W3" s="9" t="s">
        <v>69</v>
      </c>
      <c r="X3" s="15">
        <v>46300.0</v>
      </c>
    </row>
    <row r="4">
      <c r="A4" s="4" t="s">
        <v>148</v>
      </c>
      <c r="B4" s="4">
        <v>754.0</v>
      </c>
      <c r="C4" s="4">
        <v>607.0</v>
      </c>
      <c r="D4" s="4" t="s">
        <v>149</v>
      </c>
      <c r="E4" s="4" t="s">
        <v>150</v>
      </c>
      <c r="F4" s="4" t="s">
        <v>137</v>
      </c>
      <c r="G4" s="4">
        <v>66.563958</v>
      </c>
      <c r="H4" s="4">
        <v>-145.258792</v>
      </c>
      <c r="I4" s="4"/>
      <c r="J4" s="4"/>
      <c r="K4" s="4" t="s">
        <v>150</v>
      </c>
      <c r="L4" s="4" t="s">
        <v>151</v>
      </c>
      <c r="M4" s="4" t="s">
        <v>40</v>
      </c>
      <c r="N4" s="6" t="s">
        <v>152</v>
      </c>
      <c r="O4" s="4" t="s">
        <v>42</v>
      </c>
      <c r="P4" s="4">
        <v>66.56409</v>
      </c>
      <c r="Q4" s="4">
        <v>-145.25879</v>
      </c>
      <c r="R4" s="8" t="str">
        <f>HYPERLINK("https://www.google.com/maps?q=66.563958,-145.258792","map: stored")</f>
        <v>map: stored</v>
      </c>
      <c r="S4" s="5" t="s">
        <v>140</v>
      </c>
      <c r="T4" s="9" t="s">
        <v>20</v>
      </c>
      <c r="U4" s="12"/>
      <c r="V4" s="10" t="s">
        <v>153</v>
      </c>
      <c r="W4" s="9" t="s">
        <v>69</v>
      </c>
      <c r="X4" s="15">
        <v>46300.0</v>
      </c>
    </row>
    <row r="5">
      <c r="A5" s="4" t="s">
        <v>154</v>
      </c>
      <c r="B5" s="4">
        <v>1058.0</v>
      </c>
      <c r="C5" s="4">
        <v>626.0</v>
      </c>
      <c r="D5" s="4" t="s">
        <v>155</v>
      </c>
      <c r="E5" s="4" t="s">
        <v>150</v>
      </c>
      <c r="F5" s="4" t="s">
        <v>137</v>
      </c>
      <c r="G5" s="4">
        <v>64.51252</v>
      </c>
      <c r="H5" s="4">
        <v>-165.4303</v>
      </c>
      <c r="I5" s="4"/>
      <c r="J5" s="4"/>
      <c r="K5" s="4" t="s">
        <v>150</v>
      </c>
      <c r="L5" s="4" t="s">
        <v>156</v>
      </c>
      <c r="M5" s="4" t="s">
        <v>40</v>
      </c>
      <c r="N5" s="6" t="s">
        <v>157</v>
      </c>
      <c r="O5" s="4" t="s">
        <v>42</v>
      </c>
      <c r="P5" s="4">
        <v>64.51251</v>
      </c>
      <c r="Q5" s="4">
        <v>-165.4303</v>
      </c>
      <c r="R5" s="8" t="str">
        <f t="shared" ref="R5:R6" si="1">HYPERLINK("https://www.google.com/maps?q=64.512520,-165.430300","map: stored")</f>
        <v>map: stored</v>
      </c>
      <c r="S5" s="5" t="s">
        <v>140</v>
      </c>
      <c r="T5" s="12"/>
      <c r="U5" s="12"/>
      <c r="V5" s="16"/>
      <c r="W5" s="9" t="s">
        <v>69</v>
      </c>
      <c r="X5" s="15">
        <v>46300.0</v>
      </c>
    </row>
    <row r="6">
      <c r="A6" s="4" t="s">
        <v>158</v>
      </c>
      <c r="B6" s="4">
        <v>1060.0</v>
      </c>
      <c r="C6" s="4">
        <v>628.0</v>
      </c>
      <c r="D6" s="4" t="s">
        <v>159</v>
      </c>
      <c r="E6" s="4" t="s">
        <v>150</v>
      </c>
      <c r="F6" s="4" t="s">
        <v>137</v>
      </c>
      <c r="G6" s="4">
        <v>64.51252</v>
      </c>
      <c r="H6" s="4">
        <v>-165.4303</v>
      </c>
      <c r="I6" s="4"/>
      <c r="J6" s="4"/>
      <c r="K6" s="4" t="s">
        <v>150</v>
      </c>
      <c r="L6" s="4" t="s">
        <v>156</v>
      </c>
      <c r="M6" s="4" t="s">
        <v>40</v>
      </c>
      <c r="N6" s="6" t="s">
        <v>157</v>
      </c>
      <c r="O6" s="4" t="s">
        <v>42</v>
      </c>
      <c r="P6" s="4">
        <v>64.51251</v>
      </c>
      <c r="Q6" s="4">
        <v>-165.4303</v>
      </c>
      <c r="R6" s="8" t="str">
        <f t="shared" si="1"/>
        <v>map: stored</v>
      </c>
      <c r="S6" s="5" t="s">
        <v>140</v>
      </c>
      <c r="T6" s="12"/>
      <c r="U6" s="12"/>
      <c r="V6" s="16"/>
      <c r="W6" s="9" t="s">
        <v>69</v>
      </c>
      <c r="X6" s="15">
        <v>46300.0</v>
      </c>
    </row>
    <row r="7">
      <c r="A7" s="4" t="s">
        <v>160</v>
      </c>
      <c r="B7" s="4">
        <v>104.0</v>
      </c>
      <c r="C7" s="4">
        <v>649.0</v>
      </c>
      <c r="D7" s="4" t="s">
        <v>161</v>
      </c>
      <c r="E7" s="4" t="s">
        <v>162</v>
      </c>
      <c r="F7" s="4" t="s">
        <v>137</v>
      </c>
      <c r="G7" s="4">
        <v>60.132528</v>
      </c>
      <c r="H7" s="4">
        <v>-149.433</v>
      </c>
      <c r="I7" s="4"/>
      <c r="J7" s="4"/>
      <c r="K7" s="4" t="s">
        <v>162</v>
      </c>
      <c r="L7" s="4" t="s">
        <v>163</v>
      </c>
      <c r="M7" s="4" t="s">
        <v>40</v>
      </c>
      <c r="N7" s="6" t="s">
        <v>164</v>
      </c>
      <c r="O7" s="4" t="s">
        <v>42</v>
      </c>
      <c r="P7" s="4">
        <v>60.13251</v>
      </c>
      <c r="Q7" s="4">
        <v>-149.43298</v>
      </c>
      <c r="R7" s="8" t="str">
        <f>HYPERLINK("https://www.google.com/maps?q=60.132528,-149.433000","map: stored")</f>
        <v>map: stored</v>
      </c>
      <c r="S7" s="5" t="s">
        <v>140</v>
      </c>
      <c r="T7" s="9" t="s">
        <v>20</v>
      </c>
      <c r="U7" s="12"/>
      <c r="V7" s="10" t="s">
        <v>165</v>
      </c>
      <c r="W7" s="9" t="s">
        <v>69</v>
      </c>
      <c r="X7" s="15">
        <v>46300.0</v>
      </c>
    </row>
    <row r="8">
      <c r="A8" s="4" t="s">
        <v>166</v>
      </c>
      <c r="B8" s="4">
        <v>797.0</v>
      </c>
      <c r="C8" s="4">
        <v>955.0</v>
      </c>
      <c r="D8" s="4" t="s">
        <v>167</v>
      </c>
      <c r="E8" s="4" t="s">
        <v>168</v>
      </c>
      <c r="F8" s="4" t="s">
        <v>137</v>
      </c>
      <c r="G8" s="4">
        <v>58.37542</v>
      </c>
      <c r="H8" s="4">
        <v>-134.574986</v>
      </c>
      <c r="I8" s="4"/>
      <c r="J8" s="4"/>
      <c r="K8" s="4" t="s">
        <v>168</v>
      </c>
      <c r="L8" s="4" t="s">
        <v>169</v>
      </c>
      <c r="M8" s="4" t="s">
        <v>40</v>
      </c>
      <c r="N8" s="6" t="s">
        <v>170</v>
      </c>
      <c r="O8" s="4" t="s">
        <v>42</v>
      </c>
      <c r="P8" s="4">
        <v>58.37549</v>
      </c>
      <c r="Q8" s="4">
        <v>-134.57501</v>
      </c>
      <c r="R8" s="8" t="str">
        <f>HYPERLINK("https://www.google.com/maps?q=58.375420,-134.574986","map: stored")</f>
        <v>map: stored</v>
      </c>
      <c r="S8" s="5" t="s">
        <v>140</v>
      </c>
      <c r="T8" s="9" t="s">
        <v>24</v>
      </c>
      <c r="U8" s="17" t="s">
        <v>174</v>
      </c>
      <c r="V8" s="10" t="s">
        <v>177</v>
      </c>
      <c r="W8" s="9" t="s">
        <v>69</v>
      </c>
      <c r="X8" s="15">
        <v>46300.0</v>
      </c>
    </row>
    <row r="9">
      <c r="A9" s="4" t="s">
        <v>179</v>
      </c>
      <c r="B9" s="4">
        <v>898.0</v>
      </c>
      <c r="C9" s="4">
        <v>972.0</v>
      </c>
      <c r="D9" s="4" t="s">
        <v>180</v>
      </c>
      <c r="E9" s="4" t="s">
        <v>181</v>
      </c>
      <c r="F9" s="4" t="s">
        <v>137</v>
      </c>
      <c r="G9" s="4">
        <v>58.683749</v>
      </c>
      <c r="H9" s="4">
        <v>-156.672126</v>
      </c>
      <c r="I9" s="4"/>
      <c r="J9" s="4"/>
      <c r="K9" s="4" t="s">
        <v>181</v>
      </c>
      <c r="L9" s="4" t="s">
        <v>182</v>
      </c>
      <c r="M9" s="4" t="s">
        <v>40</v>
      </c>
      <c r="N9" s="6" t="s">
        <v>183</v>
      </c>
      <c r="O9" s="4" t="s">
        <v>42</v>
      </c>
      <c r="P9" s="4">
        <v>58.6839</v>
      </c>
      <c r="Q9" s="4">
        <v>-156.67212</v>
      </c>
      <c r="R9" s="8" t="str">
        <f>HYPERLINK("https://www.google.com/maps?q=58.683749,-156.672126","map: stored")</f>
        <v>map: stored</v>
      </c>
      <c r="S9" s="5" t="s">
        <v>140</v>
      </c>
      <c r="T9" s="9" t="s">
        <v>20</v>
      </c>
      <c r="U9" s="18"/>
      <c r="V9" s="10" t="s">
        <v>184</v>
      </c>
      <c r="W9" s="9" t="s">
        <v>69</v>
      </c>
      <c r="X9" s="15">
        <v>46300.0</v>
      </c>
    </row>
    <row r="10">
      <c r="A10" s="4" t="s">
        <v>185</v>
      </c>
      <c r="B10" s="4">
        <v>1858.0</v>
      </c>
      <c r="C10" s="4">
        <v>1643.0</v>
      </c>
      <c r="D10" s="4" t="s">
        <v>186</v>
      </c>
      <c r="E10" s="4" t="s">
        <v>187</v>
      </c>
      <c r="F10" s="4" t="s">
        <v>137</v>
      </c>
      <c r="G10" s="4">
        <v>68.128386</v>
      </c>
      <c r="H10" s="4">
        <v>-145.535502</v>
      </c>
      <c r="I10" s="4"/>
      <c r="J10" s="4"/>
      <c r="K10" s="4" t="s">
        <v>187</v>
      </c>
      <c r="L10" s="4" t="s">
        <v>188</v>
      </c>
      <c r="M10" s="4" t="s">
        <v>40</v>
      </c>
      <c r="N10" s="6" t="s">
        <v>189</v>
      </c>
      <c r="O10" s="4" t="s">
        <v>42</v>
      </c>
      <c r="P10" s="4">
        <v>68.12848</v>
      </c>
      <c r="Q10" s="4">
        <v>-145.53552</v>
      </c>
      <c r="R10" s="8" t="str">
        <f>HYPERLINK("https://www.google.com/maps?q=68.128386,-145.535502","map: stored")</f>
        <v>map: stored</v>
      </c>
      <c r="S10" s="5" t="s">
        <v>140</v>
      </c>
      <c r="T10" s="9" t="s">
        <v>20</v>
      </c>
      <c r="U10" s="12"/>
      <c r="V10" s="10" t="s">
        <v>191</v>
      </c>
      <c r="W10" s="9" t="s">
        <v>69</v>
      </c>
      <c r="X10" s="15">
        <v>46300.0</v>
      </c>
    </row>
    <row r="11">
      <c r="V11" s="14"/>
    </row>
    <row r="12">
      <c r="V12" s="14"/>
    </row>
    <row r="13">
      <c r="V13" s="14"/>
    </row>
    <row r="14">
      <c r="V14" s="14"/>
    </row>
    <row r="15">
      <c r="V15" s="14"/>
    </row>
    <row r="16">
      <c r="V16" s="14"/>
    </row>
    <row r="17">
      <c r="V17" s="14"/>
    </row>
    <row r="18">
      <c r="V18" s="14"/>
    </row>
    <row r="19">
      <c r="V19" s="14"/>
    </row>
    <row r="20">
      <c r="V20" s="14"/>
    </row>
    <row r="21" ht="15.75" customHeight="1">
      <c r="V21" s="14"/>
    </row>
    <row r="22" ht="15.75" customHeight="1">
      <c r="V22" s="14"/>
    </row>
    <row r="23" ht="15.75" customHeight="1">
      <c r="V23" s="14"/>
    </row>
    <row r="24" ht="15.75" customHeight="1">
      <c r="V24" s="14"/>
    </row>
    <row r="25" ht="15.75" customHeight="1">
      <c r="V25" s="14"/>
    </row>
    <row r="26" ht="15.75" customHeight="1">
      <c r="V26" s="14"/>
    </row>
    <row r="27" ht="15.75" customHeight="1">
      <c r="V27" s="14"/>
    </row>
    <row r="28" ht="15.75" customHeight="1">
      <c r="V28" s="14"/>
    </row>
    <row r="29" ht="15.75" customHeight="1">
      <c r="V29" s="14"/>
    </row>
    <row r="30" ht="15.75" customHeight="1">
      <c r="V30" s="14"/>
    </row>
    <row r="31" ht="15.75" customHeight="1">
      <c r="V31" s="14"/>
    </row>
    <row r="32" ht="15.75" customHeight="1">
      <c r="V32" s="14"/>
    </row>
    <row r="33" ht="15.75" customHeight="1">
      <c r="V33" s="14"/>
    </row>
    <row r="34" ht="15.75" customHeight="1">
      <c r="V34" s="14"/>
    </row>
    <row r="35" ht="15.75" customHeight="1">
      <c r="V35" s="14"/>
    </row>
    <row r="36" ht="15.75" customHeight="1">
      <c r="V36" s="14"/>
    </row>
    <row r="37" ht="15.75" customHeight="1">
      <c r="V37" s="14"/>
    </row>
    <row r="38" ht="15.75" customHeight="1">
      <c r="V38" s="14"/>
    </row>
    <row r="39" ht="15.75" customHeight="1">
      <c r="V39" s="14"/>
    </row>
    <row r="40" ht="15.75" customHeight="1">
      <c r="V40" s="14"/>
    </row>
    <row r="41" ht="15.75" customHeight="1">
      <c r="V41" s="14"/>
    </row>
    <row r="42" ht="15.75" customHeight="1">
      <c r="V42" s="14"/>
    </row>
    <row r="43" ht="15.75" customHeight="1">
      <c r="V43" s="14"/>
    </row>
    <row r="44" ht="15.75" customHeight="1">
      <c r="V44" s="14"/>
    </row>
    <row r="45" ht="15.75" customHeight="1">
      <c r="V45" s="14"/>
    </row>
    <row r="46" ht="15.75" customHeight="1">
      <c r="V46" s="14"/>
    </row>
    <row r="47" ht="15.75" customHeight="1">
      <c r="V47" s="14"/>
    </row>
    <row r="48" ht="15.75" customHeight="1">
      <c r="V48" s="14"/>
    </row>
    <row r="49" ht="15.75" customHeight="1">
      <c r="V49" s="14"/>
    </row>
    <row r="50" ht="15.75" customHeight="1">
      <c r="V50" s="14"/>
    </row>
    <row r="51" ht="15.75" customHeight="1">
      <c r="V51" s="14"/>
    </row>
    <row r="52" ht="15.75" customHeight="1">
      <c r="V52" s="14"/>
    </row>
    <row r="53" ht="15.75" customHeight="1">
      <c r="V53" s="14"/>
    </row>
    <row r="54" ht="15.75" customHeight="1">
      <c r="V54" s="14"/>
    </row>
    <row r="55" ht="15.75" customHeight="1">
      <c r="V55" s="14"/>
    </row>
    <row r="56" ht="15.75" customHeight="1">
      <c r="V56" s="14"/>
    </row>
    <row r="57" ht="15.75" customHeight="1">
      <c r="V57" s="14"/>
    </row>
    <row r="58" ht="15.75" customHeight="1">
      <c r="V58" s="14"/>
    </row>
    <row r="59" ht="15.75" customHeight="1">
      <c r="V59" s="14"/>
    </row>
    <row r="60" ht="15.75" customHeight="1">
      <c r="V60" s="14"/>
    </row>
    <row r="61" ht="15.75" customHeight="1">
      <c r="V61" s="14"/>
    </row>
    <row r="62" ht="15.75" customHeight="1">
      <c r="V62" s="14"/>
    </row>
    <row r="63" ht="15.75" customHeight="1">
      <c r="V63" s="14"/>
    </row>
    <row r="64" ht="15.75" customHeight="1">
      <c r="V64" s="14"/>
    </row>
    <row r="65" ht="15.75" customHeight="1">
      <c r="V65" s="14"/>
    </row>
    <row r="66" ht="15.75" customHeight="1">
      <c r="V66" s="14"/>
    </row>
    <row r="67" ht="15.75" customHeight="1">
      <c r="V67" s="14"/>
    </row>
    <row r="68" ht="15.75" customHeight="1">
      <c r="V68" s="14"/>
    </row>
    <row r="69" ht="15.75" customHeight="1">
      <c r="V69" s="14"/>
    </row>
    <row r="70" ht="15.75" customHeight="1">
      <c r="V70" s="14"/>
    </row>
    <row r="71" ht="15.75" customHeight="1">
      <c r="V71" s="14"/>
    </row>
    <row r="72" ht="15.75" customHeight="1">
      <c r="V72" s="14"/>
    </row>
    <row r="73" ht="15.75" customHeight="1">
      <c r="V73" s="14"/>
    </row>
    <row r="74" ht="15.75" customHeight="1">
      <c r="V74" s="14"/>
    </row>
    <row r="75" ht="15.75" customHeight="1">
      <c r="V75" s="14"/>
    </row>
    <row r="76" ht="15.75" customHeight="1">
      <c r="V76" s="14"/>
    </row>
    <row r="77" ht="15.75" customHeight="1">
      <c r="V77" s="14"/>
    </row>
    <row r="78" ht="15.75" customHeight="1">
      <c r="V78" s="14"/>
    </row>
    <row r="79" ht="15.75" customHeight="1">
      <c r="V79" s="14"/>
    </row>
    <row r="80" ht="15.75" customHeight="1">
      <c r="V80" s="14"/>
    </row>
    <row r="81" ht="15.75" customHeight="1">
      <c r="V81" s="14"/>
    </row>
    <row r="82" ht="15.75" customHeight="1">
      <c r="V82" s="14"/>
    </row>
    <row r="83" ht="15.75" customHeight="1">
      <c r="V83" s="14"/>
    </row>
    <row r="84" ht="15.75" customHeight="1">
      <c r="V84" s="14"/>
    </row>
    <row r="85" ht="15.75" customHeight="1">
      <c r="V85" s="14"/>
    </row>
    <row r="86" ht="15.75" customHeight="1">
      <c r="V86" s="14"/>
    </row>
    <row r="87" ht="15.75" customHeight="1">
      <c r="V87" s="14"/>
    </row>
    <row r="88" ht="15.75" customHeight="1">
      <c r="V88" s="14"/>
    </row>
    <row r="89" ht="15.75" customHeight="1">
      <c r="V89" s="14"/>
    </row>
    <row r="90" ht="15.75" customHeight="1">
      <c r="V90" s="14"/>
    </row>
    <row r="91" ht="15.75" customHeight="1">
      <c r="V91" s="14"/>
    </row>
    <row r="92" ht="15.75" customHeight="1">
      <c r="V92" s="14"/>
    </row>
    <row r="93" ht="15.75" customHeight="1">
      <c r="V93" s="14"/>
    </row>
    <row r="94" ht="15.75" customHeight="1">
      <c r="V94" s="14"/>
    </row>
    <row r="95" ht="15.75" customHeight="1">
      <c r="V95" s="14"/>
    </row>
    <row r="96" ht="15.75" customHeight="1">
      <c r="V96" s="14"/>
    </row>
    <row r="97" ht="15.75" customHeight="1">
      <c r="V97" s="14"/>
    </row>
    <row r="98" ht="15.75" customHeight="1">
      <c r="V98" s="14"/>
    </row>
    <row r="99" ht="15.75" customHeight="1">
      <c r="V99" s="14"/>
    </row>
    <row r="100" ht="15.75" customHeight="1">
      <c r="V100" s="14"/>
    </row>
    <row r="101" ht="15.75" customHeight="1">
      <c r="V101" s="14"/>
    </row>
    <row r="102" ht="15.75" customHeight="1">
      <c r="V102" s="14"/>
    </row>
    <row r="103" ht="15.75" customHeight="1">
      <c r="V103" s="14"/>
    </row>
    <row r="104" ht="15.75" customHeight="1">
      <c r="V104" s="14"/>
    </row>
    <row r="105" ht="15.75" customHeight="1">
      <c r="V105" s="14"/>
    </row>
    <row r="106" ht="15.75" customHeight="1">
      <c r="V106" s="14"/>
    </row>
    <row r="107" ht="15.75" customHeight="1">
      <c r="V107" s="14"/>
    </row>
    <row r="108" ht="15.75" customHeight="1">
      <c r="V108" s="14"/>
    </row>
    <row r="109" ht="15.75" customHeight="1">
      <c r="V109" s="14"/>
    </row>
    <row r="110" ht="15.75" customHeight="1">
      <c r="V110" s="14"/>
    </row>
    <row r="111" ht="15.75" customHeight="1">
      <c r="V111" s="14"/>
    </row>
    <row r="112" ht="15.75" customHeight="1">
      <c r="V112" s="14"/>
    </row>
    <row r="113" ht="15.75" customHeight="1">
      <c r="V113" s="14"/>
    </row>
    <row r="114" ht="15.75" customHeight="1">
      <c r="V114" s="14"/>
    </row>
    <row r="115" ht="15.75" customHeight="1">
      <c r="V115" s="14"/>
    </row>
    <row r="116" ht="15.75" customHeight="1">
      <c r="V116" s="14"/>
    </row>
    <row r="117" ht="15.75" customHeight="1">
      <c r="V117" s="14"/>
    </row>
    <row r="118" ht="15.75" customHeight="1">
      <c r="V118" s="14"/>
    </row>
    <row r="119" ht="15.75" customHeight="1">
      <c r="V119" s="14"/>
    </row>
    <row r="120" ht="15.75" customHeight="1">
      <c r="V120" s="14"/>
    </row>
    <row r="121" ht="15.75" customHeight="1">
      <c r="V121" s="14"/>
    </row>
    <row r="122" ht="15.75" customHeight="1">
      <c r="V122" s="14"/>
    </row>
    <row r="123" ht="15.75" customHeight="1">
      <c r="V123" s="14"/>
    </row>
    <row r="124" ht="15.75" customHeight="1">
      <c r="V124" s="14"/>
    </row>
    <row r="125" ht="15.75" customHeight="1">
      <c r="V125" s="14"/>
    </row>
    <row r="126" ht="15.75" customHeight="1">
      <c r="V126" s="14"/>
    </row>
    <row r="127" ht="15.75" customHeight="1">
      <c r="V127" s="14"/>
    </row>
    <row r="128" ht="15.75" customHeight="1">
      <c r="V128" s="14"/>
    </row>
    <row r="129" ht="15.75" customHeight="1">
      <c r="V129" s="14"/>
    </row>
    <row r="130" ht="15.75" customHeight="1">
      <c r="V130" s="14"/>
    </row>
    <row r="131" ht="15.75" customHeight="1">
      <c r="V131" s="14"/>
    </row>
    <row r="132" ht="15.75" customHeight="1">
      <c r="V132" s="14"/>
    </row>
    <row r="133" ht="15.75" customHeight="1">
      <c r="V133" s="14"/>
    </row>
    <row r="134" ht="15.75" customHeight="1">
      <c r="V134" s="14"/>
    </row>
    <row r="135" ht="15.75" customHeight="1">
      <c r="V135" s="14"/>
    </row>
    <row r="136" ht="15.75" customHeight="1">
      <c r="V136" s="14"/>
    </row>
    <row r="137" ht="15.75" customHeight="1">
      <c r="V137" s="14"/>
    </row>
    <row r="138" ht="15.75" customHeight="1">
      <c r="V138" s="14"/>
    </row>
    <row r="139" ht="15.75" customHeight="1">
      <c r="V139" s="14"/>
    </row>
    <row r="140" ht="15.75" customHeight="1">
      <c r="V140" s="14"/>
    </row>
    <row r="141" ht="15.75" customHeight="1">
      <c r="V141" s="14"/>
    </row>
    <row r="142" ht="15.75" customHeight="1">
      <c r="V142" s="14"/>
    </row>
    <row r="143" ht="15.75" customHeight="1">
      <c r="V143" s="14"/>
    </row>
    <row r="144" ht="15.75" customHeight="1">
      <c r="V144" s="14"/>
    </row>
    <row r="145" ht="15.75" customHeight="1">
      <c r="V145" s="14"/>
    </row>
    <row r="146" ht="15.75" customHeight="1">
      <c r="V146" s="14"/>
    </row>
    <row r="147" ht="15.75" customHeight="1">
      <c r="V147" s="14"/>
    </row>
    <row r="148" ht="15.75" customHeight="1">
      <c r="V148" s="14"/>
    </row>
    <row r="149" ht="15.75" customHeight="1">
      <c r="V149" s="14"/>
    </row>
    <row r="150" ht="15.75" customHeight="1">
      <c r="V150" s="14"/>
    </row>
    <row r="151" ht="15.75" customHeight="1">
      <c r="V151" s="14"/>
    </row>
    <row r="152" ht="15.75" customHeight="1">
      <c r="V152" s="14"/>
    </row>
    <row r="153" ht="15.75" customHeight="1">
      <c r="V153" s="14"/>
    </row>
    <row r="154" ht="15.75" customHeight="1">
      <c r="V154" s="14"/>
    </row>
    <row r="155" ht="15.75" customHeight="1">
      <c r="V155" s="14"/>
    </row>
    <row r="156" ht="15.75" customHeight="1">
      <c r="V156" s="14"/>
    </row>
    <row r="157" ht="15.75" customHeight="1">
      <c r="V157" s="14"/>
    </row>
    <row r="158" ht="15.75" customHeight="1">
      <c r="V158" s="14"/>
    </row>
    <row r="159" ht="15.75" customHeight="1">
      <c r="V159" s="14"/>
    </row>
    <row r="160" ht="15.75" customHeight="1">
      <c r="V160" s="14"/>
    </row>
    <row r="161" ht="15.75" customHeight="1">
      <c r="V161" s="14"/>
    </row>
    <row r="162" ht="15.75" customHeight="1">
      <c r="V162" s="14"/>
    </row>
    <row r="163" ht="15.75" customHeight="1">
      <c r="V163" s="14"/>
    </row>
    <row r="164" ht="15.75" customHeight="1">
      <c r="V164" s="14"/>
    </row>
    <row r="165" ht="15.75" customHeight="1">
      <c r="V165" s="14"/>
    </row>
    <row r="166" ht="15.75" customHeight="1">
      <c r="V166" s="14"/>
    </row>
    <row r="167" ht="15.75" customHeight="1">
      <c r="V167" s="14"/>
    </row>
    <row r="168" ht="15.75" customHeight="1">
      <c r="V168" s="14"/>
    </row>
    <row r="169" ht="15.75" customHeight="1">
      <c r="V169" s="14"/>
    </row>
    <row r="170" ht="15.75" customHeight="1">
      <c r="V170" s="14"/>
    </row>
    <row r="171" ht="15.75" customHeight="1">
      <c r="V171" s="14"/>
    </row>
    <row r="172" ht="15.75" customHeight="1">
      <c r="V172" s="14"/>
    </row>
    <row r="173" ht="15.75" customHeight="1">
      <c r="V173" s="14"/>
    </row>
    <row r="174" ht="15.75" customHeight="1">
      <c r="V174" s="14"/>
    </row>
    <row r="175" ht="15.75" customHeight="1">
      <c r="V175" s="14"/>
    </row>
    <row r="176" ht="15.75" customHeight="1">
      <c r="V176" s="14"/>
    </row>
    <row r="177" ht="15.75" customHeight="1">
      <c r="V177" s="14"/>
    </row>
    <row r="178" ht="15.75" customHeight="1">
      <c r="V178" s="14"/>
    </row>
    <row r="179" ht="15.75" customHeight="1">
      <c r="V179" s="14"/>
    </row>
    <row r="180" ht="15.75" customHeight="1">
      <c r="V180" s="14"/>
    </row>
    <row r="181" ht="15.75" customHeight="1">
      <c r="V181" s="14"/>
    </row>
    <row r="182" ht="15.75" customHeight="1">
      <c r="V182" s="14"/>
    </row>
    <row r="183" ht="15.75" customHeight="1">
      <c r="V183" s="14"/>
    </row>
    <row r="184" ht="15.75" customHeight="1">
      <c r="V184" s="14"/>
    </row>
    <row r="185" ht="15.75" customHeight="1">
      <c r="V185" s="14"/>
    </row>
    <row r="186" ht="15.75" customHeight="1">
      <c r="V186" s="14"/>
    </row>
    <row r="187" ht="15.75" customHeight="1">
      <c r="V187" s="14"/>
    </row>
    <row r="188" ht="15.75" customHeight="1">
      <c r="V188" s="14"/>
    </row>
    <row r="189" ht="15.75" customHeight="1">
      <c r="V189" s="14"/>
    </row>
    <row r="190" ht="15.75" customHeight="1">
      <c r="V190" s="14"/>
    </row>
    <row r="191" ht="15.75" customHeight="1">
      <c r="V191" s="14"/>
    </row>
    <row r="192" ht="15.75" customHeight="1">
      <c r="V192" s="14"/>
    </row>
    <row r="193" ht="15.75" customHeight="1">
      <c r="V193" s="14"/>
    </row>
    <row r="194" ht="15.75" customHeight="1">
      <c r="V194" s="14"/>
    </row>
    <row r="195" ht="15.75" customHeight="1">
      <c r="V195" s="14"/>
    </row>
    <row r="196" ht="15.75" customHeight="1">
      <c r="V196" s="14"/>
    </row>
    <row r="197" ht="15.75" customHeight="1">
      <c r="V197" s="14"/>
    </row>
    <row r="198" ht="15.75" customHeight="1">
      <c r="V198" s="14"/>
    </row>
    <row r="199" ht="15.75" customHeight="1">
      <c r="V199" s="14"/>
    </row>
    <row r="200" ht="15.75" customHeight="1">
      <c r="V200" s="14"/>
    </row>
    <row r="201" ht="15.75" customHeight="1">
      <c r="V201" s="14"/>
    </row>
    <row r="202" ht="15.75" customHeight="1">
      <c r="V202" s="14"/>
    </row>
    <row r="203" ht="15.75" customHeight="1">
      <c r="V203" s="14"/>
    </row>
    <row r="204" ht="15.75" customHeight="1">
      <c r="V204" s="14"/>
    </row>
    <row r="205" ht="15.75" customHeight="1">
      <c r="V205" s="14"/>
    </row>
    <row r="206" ht="15.75" customHeight="1">
      <c r="V206" s="14"/>
    </row>
    <row r="207" ht="15.75" customHeight="1">
      <c r="V207" s="14"/>
    </row>
    <row r="208" ht="15.75" customHeight="1">
      <c r="V208" s="14"/>
    </row>
    <row r="209" ht="15.75" customHeight="1">
      <c r="V209" s="14"/>
    </row>
    <row r="210" ht="15.75" customHeight="1">
      <c r="V210" s="14"/>
    </row>
    <row r="211" ht="15.75" customHeight="1">
      <c r="V211" s="14"/>
    </row>
    <row r="212" ht="15.75" customHeight="1">
      <c r="V212" s="14"/>
    </row>
    <row r="213" ht="15.75" customHeight="1">
      <c r="V213" s="14"/>
    </row>
    <row r="214" ht="15.75" customHeight="1">
      <c r="V214" s="14"/>
    </row>
    <row r="215" ht="15.75" customHeight="1">
      <c r="V215" s="14"/>
    </row>
    <row r="216" ht="15.75" customHeight="1">
      <c r="V216" s="14"/>
    </row>
    <row r="217" ht="15.75" customHeight="1">
      <c r="V217" s="14"/>
    </row>
    <row r="218" ht="15.75" customHeight="1">
      <c r="V218" s="14"/>
    </row>
    <row r="219" ht="15.75" customHeight="1">
      <c r="V219" s="14"/>
    </row>
    <row r="220" ht="15.75" customHeight="1">
      <c r="V220" s="14"/>
    </row>
    <row r="221" ht="15.75" customHeight="1">
      <c r="V221" s="14"/>
    </row>
    <row r="222" ht="15.75" customHeight="1">
      <c r="V222" s="14"/>
    </row>
    <row r="223" ht="15.75" customHeight="1">
      <c r="V223" s="14"/>
    </row>
    <row r="224" ht="15.75" customHeight="1">
      <c r="V224" s="14"/>
    </row>
    <row r="225" ht="15.75" customHeight="1">
      <c r="V225" s="14"/>
    </row>
    <row r="226" ht="15.75" customHeight="1">
      <c r="V226" s="14"/>
    </row>
    <row r="227" ht="15.75" customHeight="1">
      <c r="V227" s="14"/>
    </row>
    <row r="228" ht="15.75" customHeight="1">
      <c r="V228" s="14"/>
    </row>
    <row r="229" ht="15.75" customHeight="1">
      <c r="V229" s="14"/>
    </row>
    <row r="230" ht="15.75" customHeight="1">
      <c r="V230" s="14"/>
    </row>
    <row r="231" ht="15.75" customHeight="1">
      <c r="V231" s="14"/>
    </row>
    <row r="232" ht="15.75" customHeight="1">
      <c r="V232" s="14"/>
    </row>
    <row r="233" ht="15.75" customHeight="1">
      <c r="V233" s="14"/>
    </row>
    <row r="234" ht="15.75" customHeight="1">
      <c r="V234" s="14"/>
    </row>
    <row r="235" ht="15.75" customHeight="1">
      <c r="V235" s="14"/>
    </row>
    <row r="236" ht="15.75" customHeight="1">
      <c r="V236" s="14"/>
    </row>
    <row r="237" ht="15.75" customHeight="1">
      <c r="V237" s="14"/>
    </row>
    <row r="238" ht="15.75" customHeight="1">
      <c r="V238" s="14"/>
    </row>
    <row r="239" ht="15.75" customHeight="1">
      <c r="V239" s="14"/>
    </row>
    <row r="240" ht="15.75" customHeight="1">
      <c r="V240" s="14"/>
    </row>
    <row r="241" ht="15.75" customHeight="1">
      <c r="V241" s="14"/>
    </row>
    <row r="242" ht="15.75" customHeight="1">
      <c r="V242" s="14"/>
    </row>
    <row r="243" ht="15.75" customHeight="1">
      <c r="V243" s="14"/>
    </row>
    <row r="244" ht="15.75" customHeight="1">
      <c r="V244" s="14"/>
    </row>
    <row r="245" ht="15.75" customHeight="1">
      <c r="V245" s="14"/>
    </row>
    <row r="246" ht="15.75" customHeight="1">
      <c r="V246" s="14"/>
    </row>
    <row r="247" ht="15.75" customHeight="1">
      <c r="V247" s="14"/>
    </row>
    <row r="248" ht="15.75" customHeight="1">
      <c r="V248" s="14"/>
    </row>
    <row r="249" ht="15.75" customHeight="1">
      <c r="V249" s="14"/>
    </row>
    <row r="250" ht="15.75" customHeight="1">
      <c r="V250" s="14"/>
    </row>
    <row r="251" ht="15.75" customHeight="1">
      <c r="V251" s="14"/>
    </row>
    <row r="252" ht="15.75" customHeight="1">
      <c r="V252" s="14"/>
    </row>
    <row r="253" ht="15.75" customHeight="1">
      <c r="V253" s="14"/>
    </row>
    <row r="254" ht="15.75" customHeight="1">
      <c r="V254" s="14"/>
    </row>
    <row r="255" ht="15.75" customHeight="1">
      <c r="V255" s="14"/>
    </row>
    <row r="256" ht="15.75" customHeight="1">
      <c r="V256" s="14"/>
    </row>
    <row r="257" ht="15.75" customHeight="1">
      <c r="V257" s="14"/>
    </row>
    <row r="258" ht="15.75" customHeight="1">
      <c r="V258" s="14"/>
    </row>
    <row r="259" ht="15.75" customHeight="1">
      <c r="V259" s="14"/>
    </row>
    <row r="260" ht="15.75" customHeight="1">
      <c r="V260" s="14"/>
    </row>
    <row r="261" ht="15.75" customHeight="1">
      <c r="V261" s="14"/>
    </row>
    <row r="262" ht="15.75" customHeight="1">
      <c r="V262" s="14"/>
    </row>
    <row r="263" ht="15.75" customHeight="1">
      <c r="V263" s="14"/>
    </row>
    <row r="264" ht="15.75" customHeight="1">
      <c r="V264" s="14"/>
    </row>
    <row r="265" ht="15.75" customHeight="1">
      <c r="V265" s="14"/>
    </row>
    <row r="266" ht="15.75" customHeight="1">
      <c r="V266" s="14"/>
    </row>
    <row r="267" ht="15.75" customHeight="1">
      <c r="V267" s="14"/>
    </row>
    <row r="268" ht="15.75" customHeight="1">
      <c r="V268" s="14"/>
    </row>
    <row r="269" ht="15.75" customHeight="1">
      <c r="V269" s="14"/>
    </row>
    <row r="270" ht="15.75" customHeight="1">
      <c r="V270" s="14"/>
    </row>
    <row r="271" ht="15.75" customHeight="1">
      <c r="V271" s="14"/>
    </row>
    <row r="272" ht="15.75" customHeight="1">
      <c r="V272" s="14"/>
    </row>
    <row r="273" ht="15.75" customHeight="1">
      <c r="V273" s="14"/>
    </row>
    <row r="274" ht="15.75" customHeight="1">
      <c r="V274" s="14"/>
    </row>
    <row r="275" ht="15.75" customHeight="1">
      <c r="V275" s="14"/>
    </row>
    <row r="276" ht="15.75" customHeight="1">
      <c r="V276" s="14"/>
    </row>
    <row r="277" ht="15.75" customHeight="1">
      <c r="V277" s="14"/>
    </row>
    <row r="278" ht="15.75" customHeight="1">
      <c r="V278" s="14"/>
    </row>
    <row r="279" ht="15.75" customHeight="1">
      <c r="V279" s="14"/>
    </row>
    <row r="280" ht="15.75" customHeight="1">
      <c r="V280" s="14"/>
    </row>
    <row r="281" ht="15.75" customHeight="1">
      <c r="V281" s="14"/>
    </row>
    <row r="282" ht="15.75" customHeight="1">
      <c r="V282" s="14"/>
    </row>
    <row r="283" ht="15.75" customHeight="1">
      <c r="V283" s="14"/>
    </row>
    <row r="284" ht="15.75" customHeight="1">
      <c r="V284" s="14"/>
    </row>
    <row r="285" ht="15.75" customHeight="1">
      <c r="V285" s="14"/>
    </row>
    <row r="286" ht="15.75" customHeight="1">
      <c r="V286" s="14"/>
    </row>
    <row r="287" ht="15.75" customHeight="1">
      <c r="V287" s="14"/>
    </row>
    <row r="288" ht="15.75" customHeight="1">
      <c r="V288" s="14"/>
    </row>
    <row r="289" ht="15.75" customHeight="1">
      <c r="V289" s="14"/>
    </row>
    <row r="290" ht="15.75" customHeight="1">
      <c r="V290" s="14"/>
    </row>
    <row r="291" ht="15.75" customHeight="1">
      <c r="V291" s="14"/>
    </row>
    <row r="292" ht="15.75" customHeight="1">
      <c r="V292" s="14"/>
    </row>
    <row r="293" ht="15.75" customHeight="1">
      <c r="V293" s="14"/>
    </row>
    <row r="294" ht="15.75" customHeight="1">
      <c r="V294" s="14"/>
    </row>
    <row r="295" ht="15.75" customHeight="1">
      <c r="V295" s="14"/>
    </row>
    <row r="296" ht="15.75" customHeight="1">
      <c r="V296" s="14"/>
    </row>
    <row r="297" ht="15.75" customHeight="1">
      <c r="V297" s="14"/>
    </row>
    <row r="298" ht="15.75" customHeight="1">
      <c r="V298" s="14"/>
    </row>
    <row r="299" ht="15.75" customHeight="1">
      <c r="V299" s="14"/>
    </row>
    <row r="300" ht="15.75" customHeight="1">
      <c r="V300" s="14"/>
    </row>
    <row r="301" ht="15.75" customHeight="1">
      <c r="V301" s="14"/>
    </row>
    <row r="302" ht="15.75" customHeight="1">
      <c r="V302" s="14"/>
    </row>
    <row r="303" ht="15.75" customHeight="1">
      <c r="V303" s="14"/>
    </row>
    <row r="304" ht="15.75" customHeight="1">
      <c r="V304" s="14"/>
    </row>
    <row r="305" ht="15.75" customHeight="1">
      <c r="V305" s="14"/>
    </row>
    <row r="306" ht="15.75" customHeight="1">
      <c r="V306" s="14"/>
    </row>
    <row r="307" ht="15.75" customHeight="1">
      <c r="V307" s="14"/>
    </row>
    <row r="308" ht="15.75" customHeight="1">
      <c r="V308" s="14"/>
    </row>
    <row r="309" ht="15.75" customHeight="1">
      <c r="V309" s="14"/>
    </row>
    <row r="310" ht="15.75" customHeight="1">
      <c r="V310" s="14"/>
    </row>
    <row r="311" ht="15.75" customHeight="1">
      <c r="V311" s="14"/>
    </row>
    <row r="312" ht="15.75" customHeight="1">
      <c r="V312" s="14"/>
    </row>
    <row r="313" ht="15.75" customHeight="1">
      <c r="V313" s="14"/>
    </row>
    <row r="314" ht="15.75" customHeight="1">
      <c r="V314" s="14"/>
    </row>
    <row r="315" ht="15.75" customHeight="1">
      <c r="V315" s="14"/>
    </row>
    <row r="316" ht="15.75" customHeight="1">
      <c r="V316" s="14"/>
    </row>
    <row r="317" ht="15.75" customHeight="1">
      <c r="V317" s="14"/>
    </row>
    <row r="318" ht="15.75" customHeight="1">
      <c r="V318" s="14"/>
    </row>
    <row r="319" ht="15.75" customHeight="1">
      <c r="V319" s="14"/>
    </row>
    <row r="320" ht="15.75" customHeight="1">
      <c r="V320" s="14"/>
    </row>
    <row r="321" ht="15.75" customHeight="1">
      <c r="V321" s="14"/>
    </row>
    <row r="322" ht="15.75" customHeight="1">
      <c r="V322" s="14"/>
    </row>
    <row r="323" ht="15.75" customHeight="1">
      <c r="V323" s="14"/>
    </row>
    <row r="324" ht="15.75" customHeight="1">
      <c r="V324" s="14"/>
    </row>
    <row r="325" ht="15.75" customHeight="1">
      <c r="V325" s="14"/>
    </row>
    <row r="326" ht="15.75" customHeight="1">
      <c r="V326" s="14"/>
    </row>
    <row r="327" ht="15.75" customHeight="1">
      <c r="V327" s="14"/>
    </row>
    <row r="328" ht="15.75" customHeight="1">
      <c r="V328" s="14"/>
    </row>
    <row r="329" ht="15.75" customHeight="1">
      <c r="V329" s="14"/>
    </row>
    <row r="330" ht="15.75" customHeight="1">
      <c r="V330" s="14"/>
    </row>
    <row r="331" ht="15.75" customHeight="1">
      <c r="V331" s="14"/>
    </row>
    <row r="332" ht="15.75" customHeight="1">
      <c r="V332" s="14"/>
    </row>
    <row r="333" ht="15.75" customHeight="1">
      <c r="V333" s="14"/>
    </row>
    <row r="334" ht="15.75" customHeight="1">
      <c r="V334" s="14"/>
    </row>
    <row r="335" ht="15.75" customHeight="1">
      <c r="V335" s="14"/>
    </row>
    <row r="336" ht="15.75" customHeight="1">
      <c r="V336" s="14"/>
    </row>
    <row r="337" ht="15.75" customHeight="1">
      <c r="V337" s="14"/>
    </row>
    <row r="338" ht="15.75" customHeight="1">
      <c r="V338" s="14"/>
    </row>
    <row r="339" ht="15.75" customHeight="1">
      <c r="V339" s="14"/>
    </row>
    <row r="340" ht="15.75" customHeight="1">
      <c r="V340" s="14"/>
    </row>
    <row r="341" ht="15.75" customHeight="1">
      <c r="V341" s="14"/>
    </row>
    <row r="342" ht="15.75" customHeight="1">
      <c r="V342" s="14"/>
    </row>
    <row r="343" ht="15.75" customHeight="1">
      <c r="V343" s="14"/>
    </row>
    <row r="344" ht="15.75" customHeight="1">
      <c r="V344" s="14"/>
    </row>
    <row r="345" ht="15.75" customHeight="1">
      <c r="V345" s="14"/>
    </row>
    <row r="346" ht="15.75" customHeight="1">
      <c r="V346" s="14"/>
    </row>
    <row r="347" ht="15.75" customHeight="1">
      <c r="V347" s="14"/>
    </row>
    <row r="348" ht="15.75" customHeight="1">
      <c r="V348" s="14"/>
    </row>
    <row r="349" ht="15.75" customHeight="1">
      <c r="V349" s="14"/>
    </row>
    <row r="350" ht="15.75" customHeight="1">
      <c r="V350" s="14"/>
    </row>
    <row r="351" ht="15.75" customHeight="1">
      <c r="V351" s="14"/>
    </row>
    <row r="352" ht="15.75" customHeight="1">
      <c r="V352" s="14"/>
    </row>
    <row r="353" ht="15.75" customHeight="1">
      <c r="V353" s="14"/>
    </row>
    <row r="354" ht="15.75" customHeight="1">
      <c r="V354" s="14"/>
    </row>
    <row r="355" ht="15.75" customHeight="1">
      <c r="V355" s="14"/>
    </row>
    <row r="356" ht="15.75" customHeight="1">
      <c r="V356" s="14"/>
    </row>
    <row r="357" ht="15.75" customHeight="1">
      <c r="V357" s="14"/>
    </row>
    <row r="358" ht="15.75" customHeight="1">
      <c r="V358" s="14"/>
    </row>
    <row r="359" ht="15.75" customHeight="1">
      <c r="V359" s="14"/>
    </row>
    <row r="360" ht="15.75" customHeight="1">
      <c r="V360" s="14"/>
    </row>
    <row r="361" ht="15.75" customHeight="1">
      <c r="V361" s="14"/>
    </row>
    <row r="362" ht="15.75" customHeight="1">
      <c r="V362" s="14"/>
    </row>
    <row r="363" ht="15.75" customHeight="1">
      <c r="V363" s="14"/>
    </row>
    <row r="364" ht="15.75" customHeight="1">
      <c r="V364" s="14"/>
    </row>
    <row r="365" ht="15.75" customHeight="1">
      <c r="V365" s="14"/>
    </row>
    <row r="366" ht="15.75" customHeight="1">
      <c r="V366" s="14"/>
    </row>
    <row r="367" ht="15.75" customHeight="1">
      <c r="V367" s="14"/>
    </row>
    <row r="368" ht="15.75" customHeight="1">
      <c r="V368" s="14"/>
    </row>
    <row r="369" ht="15.75" customHeight="1">
      <c r="V369" s="14"/>
    </row>
    <row r="370" ht="15.75" customHeight="1">
      <c r="V370" s="14"/>
    </row>
    <row r="371" ht="15.75" customHeight="1">
      <c r="V371" s="14"/>
    </row>
    <row r="372" ht="15.75" customHeight="1">
      <c r="V372" s="14"/>
    </row>
    <row r="373" ht="15.75" customHeight="1">
      <c r="V373" s="14"/>
    </row>
    <row r="374" ht="15.75" customHeight="1">
      <c r="V374" s="14"/>
    </row>
    <row r="375" ht="15.75" customHeight="1">
      <c r="V375" s="14"/>
    </row>
    <row r="376" ht="15.75" customHeight="1">
      <c r="V376" s="14"/>
    </row>
    <row r="377" ht="15.75" customHeight="1">
      <c r="V377" s="14"/>
    </row>
    <row r="378" ht="15.75" customHeight="1">
      <c r="V378" s="14"/>
    </row>
    <row r="379" ht="15.75" customHeight="1">
      <c r="V379" s="14"/>
    </row>
    <row r="380" ht="15.75" customHeight="1">
      <c r="V380" s="14"/>
    </row>
    <row r="381" ht="15.75" customHeight="1">
      <c r="V381" s="14"/>
    </row>
    <row r="382" ht="15.75" customHeight="1">
      <c r="V382" s="14"/>
    </row>
    <row r="383" ht="15.75" customHeight="1">
      <c r="V383" s="14"/>
    </row>
    <row r="384" ht="15.75" customHeight="1">
      <c r="V384" s="14"/>
    </row>
    <row r="385" ht="15.75" customHeight="1">
      <c r="V385" s="14"/>
    </row>
    <row r="386" ht="15.75" customHeight="1">
      <c r="V386" s="14"/>
    </row>
    <row r="387" ht="15.75" customHeight="1">
      <c r="V387" s="14"/>
    </row>
    <row r="388" ht="15.75" customHeight="1">
      <c r="V388" s="14"/>
    </row>
    <row r="389" ht="15.75" customHeight="1">
      <c r="V389" s="14"/>
    </row>
    <row r="390" ht="15.75" customHeight="1">
      <c r="V390" s="14"/>
    </row>
    <row r="391" ht="15.75" customHeight="1">
      <c r="V391" s="14"/>
    </row>
    <row r="392" ht="15.75" customHeight="1">
      <c r="V392" s="14"/>
    </row>
    <row r="393" ht="15.75" customHeight="1">
      <c r="V393" s="14"/>
    </row>
    <row r="394" ht="15.75" customHeight="1">
      <c r="V394" s="14"/>
    </row>
    <row r="395" ht="15.75" customHeight="1">
      <c r="V395" s="14"/>
    </row>
    <row r="396" ht="15.75" customHeight="1">
      <c r="V396" s="14"/>
    </row>
    <row r="397" ht="15.75" customHeight="1">
      <c r="V397" s="14"/>
    </row>
    <row r="398" ht="15.75" customHeight="1">
      <c r="V398" s="14"/>
    </row>
    <row r="399" ht="15.75" customHeight="1">
      <c r="V399" s="14"/>
    </row>
    <row r="400" ht="15.75" customHeight="1">
      <c r="V400" s="14"/>
    </row>
    <row r="401" ht="15.75" customHeight="1">
      <c r="V401" s="14"/>
    </row>
    <row r="402" ht="15.75" customHeight="1">
      <c r="V402" s="14"/>
    </row>
    <row r="403" ht="15.75" customHeight="1">
      <c r="V403" s="14"/>
    </row>
    <row r="404" ht="15.75" customHeight="1">
      <c r="V404" s="14"/>
    </row>
    <row r="405" ht="15.75" customHeight="1">
      <c r="V405" s="14"/>
    </row>
    <row r="406" ht="15.75" customHeight="1">
      <c r="V406" s="14"/>
    </row>
    <row r="407" ht="15.75" customHeight="1">
      <c r="V407" s="14"/>
    </row>
    <row r="408" ht="15.75" customHeight="1">
      <c r="V408" s="14"/>
    </row>
    <row r="409" ht="15.75" customHeight="1">
      <c r="V409" s="14"/>
    </row>
    <row r="410" ht="15.75" customHeight="1">
      <c r="V410" s="14"/>
    </row>
    <row r="411" ht="15.75" customHeight="1">
      <c r="V411" s="14"/>
    </row>
    <row r="412" ht="15.75" customHeight="1">
      <c r="V412" s="14"/>
    </row>
    <row r="413" ht="15.75" customHeight="1">
      <c r="V413" s="14"/>
    </row>
    <row r="414" ht="15.75" customHeight="1">
      <c r="V414" s="14"/>
    </row>
    <row r="415" ht="15.75" customHeight="1">
      <c r="V415" s="14"/>
    </row>
    <row r="416" ht="15.75" customHeight="1">
      <c r="V416" s="14"/>
    </row>
    <row r="417" ht="15.75" customHeight="1">
      <c r="V417" s="14"/>
    </row>
    <row r="418" ht="15.75" customHeight="1">
      <c r="V418" s="14"/>
    </row>
    <row r="419" ht="15.75" customHeight="1">
      <c r="V419" s="14"/>
    </row>
    <row r="420" ht="15.75" customHeight="1">
      <c r="V420" s="14"/>
    </row>
    <row r="421" ht="15.75" customHeight="1">
      <c r="V421" s="14"/>
    </row>
    <row r="422" ht="15.75" customHeight="1">
      <c r="V422" s="14"/>
    </row>
    <row r="423" ht="15.75" customHeight="1">
      <c r="V423" s="14"/>
    </row>
    <row r="424" ht="15.75" customHeight="1">
      <c r="V424" s="14"/>
    </row>
    <row r="425" ht="15.75" customHeight="1">
      <c r="V425" s="14"/>
    </row>
    <row r="426" ht="15.75" customHeight="1">
      <c r="V426" s="14"/>
    </row>
    <row r="427" ht="15.75" customHeight="1">
      <c r="V427" s="14"/>
    </row>
    <row r="428" ht="15.75" customHeight="1">
      <c r="V428" s="14"/>
    </row>
    <row r="429" ht="15.75" customHeight="1">
      <c r="V429" s="14"/>
    </row>
    <row r="430" ht="15.75" customHeight="1">
      <c r="V430" s="14"/>
    </row>
    <row r="431" ht="15.75" customHeight="1">
      <c r="V431" s="14"/>
    </row>
    <row r="432" ht="15.75" customHeight="1">
      <c r="V432" s="14"/>
    </row>
    <row r="433" ht="15.75" customHeight="1">
      <c r="V433" s="14"/>
    </row>
    <row r="434" ht="15.75" customHeight="1">
      <c r="V434" s="14"/>
    </row>
    <row r="435" ht="15.75" customHeight="1">
      <c r="V435" s="14"/>
    </row>
    <row r="436" ht="15.75" customHeight="1">
      <c r="V436" s="14"/>
    </row>
    <row r="437" ht="15.75" customHeight="1">
      <c r="V437" s="14"/>
    </row>
    <row r="438" ht="15.75" customHeight="1">
      <c r="V438" s="14"/>
    </row>
    <row r="439" ht="15.75" customHeight="1">
      <c r="V439" s="14"/>
    </row>
    <row r="440" ht="15.75" customHeight="1">
      <c r="V440" s="14"/>
    </row>
    <row r="441" ht="15.75" customHeight="1">
      <c r="V441" s="14"/>
    </row>
    <row r="442" ht="15.75" customHeight="1">
      <c r="V442" s="14"/>
    </row>
    <row r="443" ht="15.75" customHeight="1">
      <c r="V443" s="14"/>
    </row>
    <row r="444" ht="15.75" customHeight="1">
      <c r="V444" s="14"/>
    </row>
    <row r="445" ht="15.75" customHeight="1">
      <c r="V445" s="14"/>
    </row>
    <row r="446" ht="15.75" customHeight="1">
      <c r="V446" s="14"/>
    </row>
    <row r="447" ht="15.75" customHeight="1">
      <c r="V447" s="14"/>
    </row>
    <row r="448" ht="15.75" customHeight="1">
      <c r="V448" s="14"/>
    </row>
    <row r="449" ht="15.75" customHeight="1">
      <c r="V449" s="14"/>
    </row>
    <row r="450" ht="15.75" customHeight="1">
      <c r="V450" s="14"/>
    </row>
    <row r="451" ht="15.75" customHeight="1">
      <c r="V451" s="14"/>
    </row>
    <row r="452" ht="15.75" customHeight="1">
      <c r="V452" s="14"/>
    </row>
    <row r="453" ht="15.75" customHeight="1">
      <c r="V453" s="14"/>
    </row>
    <row r="454" ht="15.75" customHeight="1">
      <c r="V454" s="14"/>
    </row>
    <row r="455" ht="15.75" customHeight="1">
      <c r="V455" s="14"/>
    </row>
    <row r="456" ht="15.75" customHeight="1">
      <c r="V456" s="14"/>
    </row>
    <row r="457" ht="15.75" customHeight="1">
      <c r="V457" s="14"/>
    </row>
    <row r="458" ht="15.75" customHeight="1">
      <c r="V458" s="14"/>
    </row>
    <row r="459" ht="15.75" customHeight="1">
      <c r="V459" s="14"/>
    </row>
    <row r="460" ht="15.75" customHeight="1">
      <c r="V460" s="14"/>
    </row>
    <row r="461" ht="15.75" customHeight="1">
      <c r="V461" s="14"/>
    </row>
    <row r="462" ht="15.75" customHeight="1">
      <c r="V462" s="14"/>
    </row>
    <row r="463" ht="15.75" customHeight="1">
      <c r="V463" s="14"/>
    </row>
    <row r="464" ht="15.75" customHeight="1">
      <c r="V464" s="14"/>
    </row>
    <row r="465" ht="15.75" customHeight="1">
      <c r="V465" s="14"/>
    </row>
    <row r="466" ht="15.75" customHeight="1">
      <c r="V466" s="14"/>
    </row>
    <row r="467" ht="15.75" customHeight="1">
      <c r="V467" s="14"/>
    </row>
    <row r="468" ht="15.75" customHeight="1">
      <c r="V468" s="14"/>
    </row>
    <row r="469" ht="15.75" customHeight="1">
      <c r="V469" s="14"/>
    </row>
    <row r="470" ht="15.75" customHeight="1">
      <c r="V470" s="14"/>
    </row>
    <row r="471" ht="15.75" customHeight="1">
      <c r="V471" s="14"/>
    </row>
    <row r="472" ht="15.75" customHeight="1">
      <c r="V472" s="14"/>
    </row>
    <row r="473" ht="15.75" customHeight="1">
      <c r="V473" s="14"/>
    </row>
    <row r="474" ht="15.75" customHeight="1">
      <c r="V474" s="14"/>
    </row>
    <row r="475" ht="15.75" customHeight="1">
      <c r="V475" s="14"/>
    </row>
    <row r="476" ht="15.75" customHeight="1">
      <c r="V476" s="14"/>
    </row>
    <row r="477" ht="15.75" customHeight="1">
      <c r="V477" s="14"/>
    </row>
    <row r="478" ht="15.75" customHeight="1">
      <c r="V478" s="14"/>
    </row>
    <row r="479" ht="15.75" customHeight="1">
      <c r="V479" s="14"/>
    </row>
    <row r="480" ht="15.75" customHeight="1">
      <c r="V480" s="14"/>
    </row>
    <row r="481" ht="15.75" customHeight="1">
      <c r="V481" s="14"/>
    </row>
    <row r="482" ht="15.75" customHeight="1">
      <c r="V482" s="14"/>
    </row>
    <row r="483" ht="15.75" customHeight="1">
      <c r="V483" s="14"/>
    </row>
    <row r="484" ht="15.75" customHeight="1">
      <c r="V484" s="14"/>
    </row>
    <row r="485" ht="15.75" customHeight="1">
      <c r="V485" s="14"/>
    </row>
    <row r="486" ht="15.75" customHeight="1">
      <c r="V486" s="14"/>
    </row>
    <row r="487" ht="15.75" customHeight="1">
      <c r="V487" s="14"/>
    </row>
    <row r="488" ht="15.75" customHeight="1">
      <c r="V488" s="14"/>
    </row>
    <row r="489" ht="15.75" customHeight="1">
      <c r="V489" s="14"/>
    </row>
    <row r="490" ht="15.75" customHeight="1">
      <c r="V490" s="14"/>
    </row>
    <row r="491" ht="15.75" customHeight="1">
      <c r="V491" s="14"/>
    </row>
    <row r="492" ht="15.75" customHeight="1">
      <c r="V492" s="14"/>
    </row>
    <row r="493" ht="15.75" customHeight="1">
      <c r="V493" s="14"/>
    </row>
    <row r="494" ht="15.75" customHeight="1">
      <c r="V494" s="14"/>
    </row>
    <row r="495" ht="15.75" customHeight="1">
      <c r="V495" s="14"/>
    </row>
    <row r="496" ht="15.75" customHeight="1">
      <c r="V496" s="14"/>
    </row>
    <row r="497" ht="15.75" customHeight="1">
      <c r="V497" s="14"/>
    </row>
    <row r="498" ht="15.75" customHeight="1">
      <c r="V498" s="14"/>
    </row>
    <row r="499" ht="15.75" customHeight="1">
      <c r="V499" s="14"/>
    </row>
    <row r="500" ht="15.75" customHeight="1">
      <c r="V500" s="14"/>
    </row>
    <row r="501" ht="15.75" customHeight="1">
      <c r="V501" s="14"/>
    </row>
    <row r="502" ht="15.75" customHeight="1">
      <c r="V502" s="14"/>
    </row>
    <row r="503" ht="15.75" customHeight="1">
      <c r="V503" s="14"/>
    </row>
    <row r="504" ht="15.75" customHeight="1">
      <c r="V504" s="14"/>
    </row>
    <row r="505" ht="15.75" customHeight="1">
      <c r="V505" s="14"/>
    </row>
    <row r="506" ht="15.75" customHeight="1">
      <c r="V506" s="14"/>
    </row>
    <row r="507" ht="15.75" customHeight="1">
      <c r="V507" s="14"/>
    </row>
    <row r="508" ht="15.75" customHeight="1">
      <c r="V508" s="14"/>
    </row>
    <row r="509" ht="15.75" customHeight="1">
      <c r="V509" s="14"/>
    </row>
    <row r="510" ht="15.75" customHeight="1">
      <c r="V510" s="14"/>
    </row>
    <row r="511" ht="15.75" customHeight="1">
      <c r="V511" s="14"/>
    </row>
    <row r="512" ht="15.75" customHeight="1">
      <c r="V512" s="14"/>
    </row>
    <row r="513" ht="15.75" customHeight="1">
      <c r="V513" s="14"/>
    </row>
    <row r="514" ht="15.75" customHeight="1">
      <c r="V514" s="14"/>
    </row>
    <row r="515" ht="15.75" customHeight="1">
      <c r="V515" s="14"/>
    </row>
    <row r="516" ht="15.75" customHeight="1">
      <c r="V516" s="14"/>
    </row>
    <row r="517" ht="15.75" customHeight="1">
      <c r="V517" s="14"/>
    </row>
    <row r="518" ht="15.75" customHeight="1">
      <c r="V518" s="14"/>
    </row>
    <row r="519" ht="15.75" customHeight="1">
      <c r="V519" s="14"/>
    </row>
    <row r="520" ht="15.75" customHeight="1">
      <c r="V520" s="14"/>
    </row>
    <row r="521" ht="15.75" customHeight="1">
      <c r="V521" s="14"/>
    </row>
    <row r="522" ht="15.75" customHeight="1">
      <c r="V522" s="14"/>
    </row>
    <row r="523" ht="15.75" customHeight="1">
      <c r="V523" s="14"/>
    </row>
    <row r="524" ht="15.75" customHeight="1">
      <c r="V524" s="14"/>
    </row>
    <row r="525" ht="15.75" customHeight="1">
      <c r="V525" s="14"/>
    </row>
    <row r="526" ht="15.75" customHeight="1">
      <c r="V526" s="14"/>
    </row>
    <row r="527" ht="15.75" customHeight="1">
      <c r="V527" s="14"/>
    </row>
    <row r="528" ht="15.75" customHeight="1">
      <c r="V528" s="14"/>
    </row>
    <row r="529" ht="15.75" customHeight="1">
      <c r="V529" s="14"/>
    </row>
    <row r="530" ht="15.75" customHeight="1">
      <c r="V530" s="14"/>
    </row>
    <row r="531" ht="15.75" customHeight="1">
      <c r="V531" s="14"/>
    </row>
    <row r="532" ht="15.75" customHeight="1">
      <c r="V532" s="14"/>
    </row>
    <row r="533" ht="15.75" customHeight="1">
      <c r="V533" s="14"/>
    </row>
    <row r="534" ht="15.75" customHeight="1">
      <c r="V534" s="14"/>
    </row>
    <row r="535" ht="15.75" customHeight="1">
      <c r="V535" s="14"/>
    </row>
    <row r="536" ht="15.75" customHeight="1">
      <c r="V536" s="14"/>
    </row>
    <row r="537" ht="15.75" customHeight="1">
      <c r="V537" s="14"/>
    </row>
    <row r="538" ht="15.75" customHeight="1">
      <c r="V538" s="14"/>
    </row>
    <row r="539" ht="15.75" customHeight="1">
      <c r="V539" s="14"/>
    </row>
    <row r="540" ht="15.75" customHeight="1">
      <c r="V540" s="14"/>
    </row>
    <row r="541" ht="15.75" customHeight="1">
      <c r="V541" s="14"/>
    </row>
    <row r="542" ht="15.75" customHeight="1">
      <c r="V542" s="14"/>
    </row>
    <row r="543" ht="15.75" customHeight="1">
      <c r="V543" s="14"/>
    </row>
    <row r="544" ht="15.75" customHeight="1">
      <c r="V544" s="14"/>
    </row>
    <row r="545" ht="15.75" customHeight="1">
      <c r="V545" s="14"/>
    </row>
    <row r="546" ht="15.75" customHeight="1">
      <c r="V546" s="14"/>
    </row>
    <row r="547" ht="15.75" customHeight="1">
      <c r="V547" s="14"/>
    </row>
    <row r="548" ht="15.75" customHeight="1">
      <c r="V548" s="14"/>
    </row>
    <row r="549" ht="15.75" customHeight="1">
      <c r="V549" s="14"/>
    </row>
    <row r="550" ht="15.75" customHeight="1">
      <c r="V550" s="14"/>
    </row>
    <row r="551" ht="15.75" customHeight="1">
      <c r="V551" s="14"/>
    </row>
    <row r="552" ht="15.75" customHeight="1">
      <c r="V552" s="14"/>
    </row>
    <row r="553" ht="15.75" customHeight="1">
      <c r="V553" s="14"/>
    </row>
    <row r="554" ht="15.75" customHeight="1">
      <c r="V554" s="14"/>
    </row>
    <row r="555" ht="15.75" customHeight="1">
      <c r="V555" s="14"/>
    </row>
    <row r="556" ht="15.75" customHeight="1">
      <c r="V556" s="14"/>
    </row>
    <row r="557" ht="15.75" customHeight="1">
      <c r="V557" s="14"/>
    </row>
    <row r="558" ht="15.75" customHeight="1">
      <c r="V558" s="14"/>
    </row>
    <row r="559" ht="15.75" customHeight="1">
      <c r="V559" s="14"/>
    </row>
    <row r="560" ht="15.75" customHeight="1">
      <c r="V560" s="14"/>
    </row>
    <row r="561" ht="15.75" customHeight="1">
      <c r="V561" s="14"/>
    </row>
    <row r="562" ht="15.75" customHeight="1">
      <c r="V562" s="14"/>
    </row>
    <row r="563" ht="15.75" customHeight="1">
      <c r="V563" s="14"/>
    </row>
    <row r="564" ht="15.75" customHeight="1">
      <c r="V564" s="14"/>
    </row>
    <row r="565" ht="15.75" customHeight="1">
      <c r="V565" s="14"/>
    </row>
    <row r="566" ht="15.75" customHeight="1">
      <c r="V566" s="14"/>
    </row>
    <row r="567" ht="15.75" customHeight="1">
      <c r="V567" s="14"/>
    </row>
    <row r="568" ht="15.75" customHeight="1">
      <c r="V568" s="14"/>
    </row>
    <row r="569" ht="15.75" customHeight="1">
      <c r="V569" s="14"/>
    </row>
    <row r="570" ht="15.75" customHeight="1">
      <c r="V570" s="14"/>
    </row>
    <row r="571" ht="15.75" customHeight="1">
      <c r="V571" s="14"/>
    </row>
    <row r="572" ht="15.75" customHeight="1">
      <c r="V572" s="14"/>
    </row>
    <row r="573" ht="15.75" customHeight="1">
      <c r="V573" s="14"/>
    </row>
    <row r="574" ht="15.75" customHeight="1">
      <c r="V574" s="14"/>
    </row>
    <row r="575" ht="15.75" customHeight="1">
      <c r="V575" s="14"/>
    </row>
    <row r="576" ht="15.75" customHeight="1">
      <c r="V576" s="14"/>
    </row>
    <row r="577" ht="15.75" customHeight="1">
      <c r="V577" s="14"/>
    </row>
    <row r="578" ht="15.75" customHeight="1">
      <c r="V578" s="14"/>
    </row>
    <row r="579" ht="15.75" customHeight="1">
      <c r="V579" s="14"/>
    </row>
    <row r="580" ht="15.75" customHeight="1">
      <c r="V580" s="14"/>
    </row>
    <row r="581" ht="15.75" customHeight="1">
      <c r="V581" s="14"/>
    </row>
    <row r="582" ht="15.75" customHeight="1">
      <c r="V582" s="14"/>
    </row>
    <row r="583" ht="15.75" customHeight="1">
      <c r="V583" s="14"/>
    </row>
    <row r="584" ht="15.75" customHeight="1">
      <c r="V584" s="14"/>
    </row>
    <row r="585" ht="15.75" customHeight="1">
      <c r="V585" s="14"/>
    </row>
    <row r="586" ht="15.75" customHeight="1">
      <c r="V586" s="14"/>
    </row>
    <row r="587" ht="15.75" customHeight="1">
      <c r="V587" s="14"/>
    </row>
    <row r="588" ht="15.75" customHeight="1">
      <c r="V588" s="14"/>
    </row>
    <row r="589" ht="15.75" customHeight="1">
      <c r="V589" s="14"/>
    </row>
    <row r="590" ht="15.75" customHeight="1">
      <c r="V590" s="14"/>
    </row>
    <row r="591" ht="15.75" customHeight="1">
      <c r="V591" s="14"/>
    </row>
    <row r="592" ht="15.75" customHeight="1">
      <c r="V592" s="14"/>
    </row>
    <row r="593" ht="15.75" customHeight="1">
      <c r="V593" s="14"/>
    </row>
    <row r="594" ht="15.75" customHeight="1">
      <c r="V594" s="14"/>
    </row>
    <row r="595" ht="15.75" customHeight="1">
      <c r="V595" s="14"/>
    </row>
    <row r="596" ht="15.75" customHeight="1">
      <c r="V596" s="14"/>
    </row>
    <row r="597" ht="15.75" customHeight="1">
      <c r="V597" s="14"/>
    </row>
    <row r="598" ht="15.75" customHeight="1">
      <c r="V598" s="14"/>
    </row>
    <row r="599" ht="15.75" customHeight="1">
      <c r="V599" s="14"/>
    </row>
    <row r="600" ht="15.75" customHeight="1">
      <c r="V600" s="14"/>
    </row>
    <row r="601" ht="15.75" customHeight="1">
      <c r="V601" s="14"/>
    </row>
    <row r="602" ht="15.75" customHeight="1">
      <c r="V602" s="14"/>
    </row>
    <row r="603" ht="15.75" customHeight="1">
      <c r="V603" s="14"/>
    </row>
    <row r="604" ht="15.75" customHeight="1">
      <c r="V604" s="14"/>
    </row>
    <row r="605" ht="15.75" customHeight="1">
      <c r="V605" s="14"/>
    </row>
    <row r="606" ht="15.75" customHeight="1">
      <c r="V606" s="14"/>
    </row>
    <row r="607" ht="15.75" customHeight="1">
      <c r="V607" s="14"/>
    </row>
    <row r="608" ht="15.75" customHeight="1">
      <c r="V608" s="14"/>
    </row>
    <row r="609" ht="15.75" customHeight="1">
      <c r="V609" s="14"/>
    </row>
    <row r="610" ht="15.75" customHeight="1">
      <c r="V610" s="14"/>
    </row>
    <row r="611" ht="15.75" customHeight="1">
      <c r="V611" s="14"/>
    </row>
    <row r="612" ht="15.75" customHeight="1">
      <c r="V612" s="14"/>
    </row>
    <row r="613" ht="15.75" customHeight="1">
      <c r="V613" s="14"/>
    </row>
    <row r="614" ht="15.75" customHeight="1">
      <c r="V614" s="14"/>
    </row>
    <row r="615" ht="15.75" customHeight="1">
      <c r="V615" s="14"/>
    </row>
    <row r="616" ht="15.75" customHeight="1">
      <c r="V616" s="14"/>
    </row>
    <row r="617" ht="15.75" customHeight="1">
      <c r="V617" s="14"/>
    </row>
    <row r="618" ht="15.75" customHeight="1">
      <c r="V618" s="14"/>
    </row>
    <row r="619" ht="15.75" customHeight="1">
      <c r="V619" s="14"/>
    </row>
    <row r="620" ht="15.75" customHeight="1">
      <c r="V620" s="14"/>
    </row>
    <row r="621" ht="15.75" customHeight="1">
      <c r="V621" s="14"/>
    </row>
    <row r="622" ht="15.75" customHeight="1">
      <c r="V622" s="14"/>
    </row>
    <row r="623" ht="15.75" customHeight="1">
      <c r="V623" s="14"/>
    </row>
    <row r="624" ht="15.75" customHeight="1">
      <c r="V624" s="14"/>
    </row>
    <row r="625" ht="15.75" customHeight="1">
      <c r="V625" s="14"/>
    </row>
    <row r="626" ht="15.75" customHeight="1">
      <c r="V626" s="14"/>
    </row>
    <row r="627" ht="15.75" customHeight="1">
      <c r="V627" s="14"/>
    </row>
    <row r="628" ht="15.75" customHeight="1">
      <c r="V628" s="14"/>
    </row>
    <row r="629" ht="15.75" customHeight="1">
      <c r="V629" s="14"/>
    </row>
    <row r="630" ht="15.75" customHeight="1">
      <c r="V630" s="14"/>
    </row>
    <row r="631" ht="15.75" customHeight="1">
      <c r="V631" s="14"/>
    </row>
    <row r="632" ht="15.75" customHeight="1">
      <c r="V632" s="14"/>
    </row>
    <row r="633" ht="15.75" customHeight="1">
      <c r="V633" s="14"/>
    </row>
    <row r="634" ht="15.75" customHeight="1">
      <c r="V634" s="14"/>
    </row>
    <row r="635" ht="15.75" customHeight="1">
      <c r="V635" s="14"/>
    </row>
    <row r="636" ht="15.75" customHeight="1">
      <c r="V636" s="14"/>
    </row>
    <row r="637" ht="15.75" customHeight="1">
      <c r="V637" s="14"/>
    </row>
    <row r="638" ht="15.75" customHeight="1">
      <c r="V638" s="14"/>
    </row>
    <row r="639" ht="15.75" customHeight="1">
      <c r="V639" s="14"/>
    </row>
    <row r="640" ht="15.75" customHeight="1">
      <c r="V640" s="14"/>
    </row>
    <row r="641" ht="15.75" customHeight="1">
      <c r="V641" s="14"/>
    </row>
    <row r="642" ht="15.75" customHeight="1">
      <c r="V642" s="14"/>
    </row>
    <row r="643" ht="15.75" customHeight="1">
      <c r="V643" s="14"/>
    </row>
    <row r="644" ht="15.75" customHeight="1">
      <c r="V644" s="14"/>
    </row>
    <row r="645" ht="15.75" customHeight="1">
      <c r="V645" s="14"/>
    </row>
    <row r="646" ht="15.75" customHeight="1">
      <c r="V646" s="14"/>
    </row>
    <row r="647" ht="15.75" customHeight="1">
      <c r="V647" s="14"/>
    </row>
    <row r="648" ht="15.75" customHeight="1">
      <c r="V648" s="14"/>
    </row>
    <row r="649" ht="15.75" customHeight="1">
      <c r="V649" s="14"/>
    </row>
    <row r="650" ht="15.75" customHeight="1">
      <c r="V650" s="14"/>
    </row>
    <row r="651" ht="15.75" customHeight="1">
      <c r="V651" s="14"/>
    </row>
    <row r="652" ht="15.75" customHeight="1">
      <c r="V652" s="14"/>
    </row>
    <row r="653" ht="15.75" customHeight="1">
      <c r="V653" s="14"/>
    </row>
    <row r="654" ht="15.75" customHeight="1">
      <c r="V654" s="14"/>
    </row>
    <row r="655" ht="15.75" customHeight="1">
      <c r="V655" s="14"/>
    </row>
    <row r="656" ht="15.75" customHeight="1">
      <c r="V656" s="14"/>
    </row>
    <row r="657" ht="15.75" customHeight="1">
      <c r="V657" s="14"/>
    </row>
    <row r="658" ht="15.75" customHeight="1">
      <c r="V658" s="14"/>
    </row>
    <row r="659" ht="15.75" customHeight="1">
      <c r="V659" s="14"/>
    </row>
    <row r="660" ht="15.75" customHeight="1">
      <c r="V660" s="14"/>
    </row>
    <row r="661" ht="15.75" customHeight="1">
      <c r="V661" s="14"/>
    </row>
    <row r="662" ht="15.75" customHeight="1">
      <c r="V662" s="14"/>
    </row>
    <row r="663" ht="15.75" customHeight="1">
      <c r="V663" s="14"/>
    </row>
    <row r="664" ht="15.75" customHeight="1">
      <c r="V664" s="14"/>
    </row>
    <row r="665" ht="15.75" customHeight="1">
      <c r="V665" s="14"/>
    </row>
    <row r="666" ht="15.75" customHeight="1">
      <c r="V666" s="14"/>
    </row>
    <row r="667" ht="15.75" customHeight="1">
      <c r="V667" s="14"/>
    </row>
    <row r="668" ht="15.75" customHeight="1">
      <c r="V668" s="14"/>
    </row>
    <row r="669" ht="15.75" customHeight="1">
      <c r="V669" s="14"/>
    </row>
    <row r="670" ht="15.75" customHeight="1">
      <c r="V670" s="14"/>
    </row>
    <row r="671" ht="15.75" customHeight="1">
      <c r="V671" s="14"/>
    </row>
    <row r="672" ht="15.75" customHeight="1">
      <c r="V672" s="14"/>
    </row>
    <row r="673" ht="15.75" customHeight="1">
      <c r="V673" s="14"/>
    </row>
    <row r="674" ht="15.75" customHeight="1">
      <c r="V674" s="14"/>
    </row>
    <row r="675" ht="15.75" customHeight="1">
      <c r="V675" s="14"/>
    </row>
    <row r="676" ht="15.75" customHeight="1">
      <c r="V676" s="14"/>
    </row>
    <row r="677" ht="15.75" customHeight="1">
      <c r="V677" s="14"/>
    </row>
    <row r="678" ht="15.75" customHeight="1">
      <c r="V678" s="14"/>
    </row>
    <row r="679" ht="15.75" customHeight="1">
      <c r="V679" s="14"/>
    </row>
    <row r="680" ht="15.75" customHeight="1">
      <c r="V680" s="14"/>
    </row>
    <row r="681" ht="15.75" customHeight="1">
      <c r="V681" s="14"/>
    </row>
    <row r="682" ht="15.75" customHeight="1">
      <c r="V682" s="14"/>
    </row>
    <row r="683" ht="15.75" customHeight="1">
      <c r="V683" s="14"/>
    </row>
    <row r="684" ht="15.75" customHeight="1">
      <c r="V684" s="14"/>
    </row>
    <row r="685" ht="15.75" customHeight="1">
      <c r="V685" s="14"/>
    </row>
    <row r="686" ht="15.75" customHeight="1">
      <c r="V686" s="14"/>
    </row>
    <row r="687" ht="15.75" customHeight="1">
      <c r="V687" s="14"/>
    </row>
    <row r="688" ht="15.75" customHeight="1">
      <c r="V688" s="14"/>
    </row>
    <row r="689" ht="15.75" customHeight="1">
      <c r="V689" s="14"/>
    </row>
    <row r="690" ht="15.75" customHeight="1">
      <c r="V690" s="14"/>
    </row>
    <row r="691" ht="15.75" customHeight="1">
      <c r="V691" s="14"/>
    </row>
    <row r="692" ht="15.75" customHeight="1">
      <c r="V692" s="14"/>
    </row>
    <row r="693" ht="15.75" customHeight="1">
      <c r="V693" s="14"/>
    </row>
    <row r="694" ht="15.75" customHeight="1">
      <c r="V694" s="14"/>
    </row>
    <row r="695" ht="15.75" customHeight="1">
      <c r="V695" s="14"/>
    </row>
    <row r="696" ht="15.75" customHeight="1">
      <c r="V696" s="14"/>
    </row>
    <row r="697" ht="15.75" customHeight="1">
      <c r="V697" s="14"/>
    </row>
    <row r="698" ht="15.75" customHeight="1">
      <c r="V698" s="14"/>
    </row>
    <row r="699" ht="15.75" customHeight="1">
      <c r="V699" s="14"/>
    </row>
    <row r="700" ht="15.75" customHeight="1">
      <c r="V700" s="14"/>
    </row>
    <row r="701" ht="15.75" customHeight="1">
      <c r="V701" s="14"/>
    </row>
    <row r="702" ht="15.75" customHeight="1">
      <c r="V702" s="14"/>
    </row>
    <row r="703" ht="15.75" customHeight="1">
      <c r="V703" s="14"/>
    </row>
    <row r="704" ht="15.75" customHeight="1">
      <c r="V704" s="14"/>
    </row>
    <row r="705" ht="15.75" customHeight="1">
      <c r="V705" s="14"/>
    </row>
    <row r="706" ht="15.75" customHeight="1">
      <c r="V706" s="14"/>
    </row>
    <row r="707" ht="15.75" customHeight="1">
      <c r="V707" s="14"/>
    </row>
    <row r="708" ht="15.75" customHeight="1">
      <c r="V708" s="14"/>
    </row>
    <row r="709" ht="15.75" customHeight="1">
      <c r="V709" s="14"/>
    </row>
    <row r="710" ht="15.75" customHeight="1">
      <c r="V710" s="14"/>
    </row>
    <row r="711" ht="15.75" customHeight="1">
      <c r="V711" s="14"/>
    </row>
    <row r="712" ht="15.75" customHeight="1">
      <c r="V712" s="14"/>
    </row>
    <row r="713" ht="15.75" customHeight="1">
      <c r="V713" s="14"/>
    </row>
    <row r="714" ht="15.75" customHeight="1">
      <c r="V714" s="14"/>
    </row>
    <row r="715" ht="15.75" customHeight="1">
      <c r="V715" s="14"/>
    </row>
    <row r="716" ht="15.75" customHeight="1">
      <c r="V716" s="14"/>
    </row>
    <row r="717" ht="15.75" customHeight="1">
      <c r="V717" s="14"/>
    </row>
    <row r="718" ht="15.75" customHeight="1">
      <c r="V718" s="14"/>
    </row>
    <row r="719" ht="15.75" customHeight="1">
      <c r="V719" s="14"/>
    </row>
    <row r="720" ht="15.75" customHeight="1">
      <c r="V720" s="14"/>
    </row>
    <row r="721" ht="15.75" customHeight="1">
      <c r="V721" s="14"/>
    </row>
    <row r="722" ht="15.75" customHeight="1">
      <c r="V722" s="14"/>
    </row>
    <row r="723" ht="15.75" customHeight="1">
      <c r="V723" s="14"/>
    </row>
    <row r="724" ht="15.75" customHeight="1">
      <c r="V724" s="14"/>
    </row>
    <row r="725" ht="15.75" customHeight="1">
      <c r="V725" s="14"/>
    </row>
    <row r="726" ht="15.75" customHeight="1">
      <c r="V726" s="14"/>
    </row>
    <row r="727" ht="15.75" customHeight="1">
      <c r="V727" s="14"/>
    </row>
    <row r="728" ht="15.75" customHeight="1">
      <c r="V728" s="14"/>
    </row>
    <row r="729" ht="15.75" customHeight="1">
      <c r="V729" s="14"/>
    </row>
    <row r="730" ht="15.75" customHeight="1">
      <c r="V730" s="14"/>
    </row>
    <row r="731" ht="15.75" customHeight="1">
      <c r="V731" s="14"/>
    </row>
    <row r="732" ht="15.75" customHeight="1">
      <c r="V732" s="14"/>
    </row>
    <row r="733" ht="15.75" customHeight="1">
      <c r="V733" s="14"/>
    </row>
    <row r="734" ht="15.75" customHeight="1">
      <c r="V734" s="14"/>
    </row>
    <row r="735" ht="15.75" customHeight="1">
      <c r="V735" s="14"/>
    </row>
    <row r="736" ht="15.75" customHeight="1">
      <c r="V736" s="14"/>
    </row>
    <row r="737" ht="15.75" customHeight="1">
      <c r="V737" s="14"/>
    </row>
    <row r="738" ht="15.75" customHeight="1">
      <c r="V738" s="14"/>
    </row>
    <row r="739" ht="15.75" customHeight="1">
      <c r="V739" s="14"/>
    </row>
    <row r="740" ht="15.75" customHeight="1">
      <c r="V740" s="14"/>
    </row>
    <row r="741" ht="15.75" customHeight="1">
      <c r="V741" s="14"/>
    </row>
    <row r="742" ht="15.75" customHeight="1">
      <c r="V742" s="14"/>
    </row>
    <row r="743" ht="15.75" customHeight="1">
      <c r="V743" s="14"/>
    </row>
    <row r="744" ht="15.75" customHeight="1">
      <c r="V744" s="14"/>
    </row>
    <row r="745" ht="15.75" customHeight="1">
      <c r="V745" s="14"/>
    </row>
    <row r="746" ht="15.75" customHeight="1">
      <c r="V746" s="14"/>
    </row>
    <row r="747" ht="15.75" customHeight="1">
      <c r="V747" s="14"/>
    </row>
    <row r="748" ht="15.75" customHeight="1">
      <c r="V748" s="14"/>
    </row>
    <row r="749" ht="15.75" customHeight="1">
      <c r="V749" s="14"/>
    </row>
    <row r="750" ht="15.75" customHeight="1">
      <c r="V750" s="14"/>
    </row>
    <row r="751" ht="15.75" customHeight="1">
      <c r="V751" s="14"/>
    </row>
    <row r="752" ht="15.75" customHeight="1">
      <c r="V752" s="14"/>
    </row>
    <row r="753" ht="15.75" customHeight="1">
      <c r="V753" s="14"/>
    </row>
    <row r="754" ht="15.75" customHeight="1">
      <c r="V754" s="14"/>
    </row>
    <row r="755" ht="15.75" customHeight="1">
      <c r="V755" s="14"/>
    </row>
    <row r="756" ht="15.75" customHeight="1">
      <c r="V756" s="14"/>
    </row>
    <row r="757" ht="15.75" customHeight="1">
      <c r="V757" s="14"/>
    </row>
    <row r="758" ht="15.75" customHeight="1">
      <c r="V758" s="14"/>
    </row>
    <row r="759" ht="15.75" customHeight="1">
      <c r="V759" s="14"/>
    </row>
    <row r="760" ht="15.75" customHeight="1">
      <c r="V760" s="14"/>
    </row>
    <row r="761" ht="15.75" customHeight="1">
      <c r="V761" s="14"/>
    </row>
    <row r="762" ht="15.75" customHeight="1">
      <c r="V762" s="14"/>
    </row>
    <row r="763" ht="15.75" customHeight="1">
      <c r="V763" s="14"/>
    </row>
    <row r="764" ht="15.75" customHeight="1">
      <c r="V764" s="14"/>
    </row>
    <row r="765" ht="15.75" customHeight="1">
      <c r="V765" s="14"/>
    </row>
    <row r="766" ht="15.75" customHeight="1">
      <c r="V766" s="14"/>
    </row>
    <row r="767" ht="15.75" customHeight="1">
      <c r="V767" s="14"/>
    </row>
    <row r="768" ht="15.75" customHeight="1">
      <c r="V768" s="14"/>
    </row>
    <row r="769" ht="15.75" customHeight="1">
      <c r="V769" s="14"/>
    </row>
    <row r="770" ht="15.75" customHeight="1">
      <c r="V770" s="14"/>
    </row>
    <row r="771" ht="15.75" customHeight="1">
      <c r="V771" s="14"/>
    </row>
    <row r="772" ht="15.75" customHeight="1">
      <c r="V772" s="14"/>
    </row>
    <row r="773" ht="15.75" customHeight="1">
      <c r="V773" s="14"/>
    </row>
    <row r="774" ht="15.75" customHeight="1">
      <c r="V774" s="14"/>
    </row>
    <row r="775" ht="15.75" customHeight="1">
      <c r="V775" s="14"/>
    </row>
    <row r="776" ht="15.75" customHeight="1">
      <c r="V776" s="14"/>
    </row>
    <row r="777" ht="15.75" customHeight="1">
      <c r="V777" s="14"/>
    </row>
    <row r="778" ht="15.75" customHeight="1">
      <c r="V778" s="14"/>
    </row>
    <row r="779" ht="15.75" customHeight="1">
      <c r="V779" s="14"/>
    </row>
    <row r="780" ht="15.75" customHeight="1">
      <c r="V780" s="14"/>
    </row>
    <row r="781" ht="15.75" customHeight="1">
      <c r="V781" s="14"/>
    </row>
    <row r="782" ht="15.75" customHeight="1">
      <c r="V782" s="14"/>
    </row>
    <row r="783" ht="15.75" customHeight="1">
      <c r="V783" s="14"/>
    </row>
    <row r="784" ht="15.75" customHeight="1">
      <c r="V784" s="14"/>
    </row>
    <row r="785" ht="15.75" customHeight="1">
      <c r="V785" s="14"/>
    </row>
    <row r="786" ht="15.75" customHeight="1">
      <c r="V786" s="14"/>
    </row>
    <row r="787" ht="15.75" customHeight="1">
      <c r="V787" s="14"/>
    </row>
    <row r="788" ht="15.75" customHeight="1">
      <c r="V788" s="14"/>
    </row>
    <row r="789" ht="15.75" customHeight="1">
      <c r="V789" s="14"/>
    </row>
    <row r="790" ht="15.75" customHeight="1">
      <c r="V790" s="14"/>
    </row>
    <row r="791" ht="15.75" customHeight="1">
      <c r="V791" s="14"/>
    </row>
    <row r="792" ht="15.75" customHeight="1">
      <c r="V792" s="14"/>
    </row>
    <row r="793" ht="15.75" customHeight="1">
      <c r="V793" s="14"/>
    </row>
    <row r="794" ht="15.75" customHeight="1">
      <c r="V794" s="14"/>
    </row>
    <row r="795" ht="15.75" customHeight="1">
      <c r="V795" s="14"/>
    </row>
    <row r="796" ht="15.75" customHeight="1">
      <c r="V796" s="14"/>
    </row>
    <row r="797" ht="15.75" customHeight="1">
      <c r="V797" s="14"/>
    </row>
    <row r="798" ht="15.75" customHeight="1">
      <c r="V798" s="14"/>
    </row>
    <row r="799" ht="15.75" customHeight="1">
      <c r="V799" s="14"/>
    </row>
    <row r="800" ht="15.75" customHeight="1">
      <c r="V800" s="14"/>
    </row>
    <row r="801" ht="15.75" customHeight="1">
      <c r="V801" s="14"/>
    </row>
    <row r="802" ht="15.75" customHeight="1">
      <c r="V802" s="14"/>
    </row>
    <row r="803" ht="15.75" customHeight="1">
      <c r="V803" s="14"/>
    </row>
    <row r="804" ht="15.75" customHeight="1">
      <c r="V804" s="14"/>
    </row>
    <row r="805" ht="15.75" customHeight="1">
      <c r="V805" s="14"/>
    </row>
    <row r="806" ht="15.75" customHeight="1">
      <c r="V806" s="14"/>
    </row>
    <row r="807" ht="15.75" customHeight="1">
      <c r="V807" s="14"/>
    </row>
    <row r="808" ht="15.75" customHeight="1">
      <c r="V808" s="14"/>
    </row>
    <row r="809" ht="15.75" customHeight="1">
      <c r="V809" s="14"/>
    </row>
    <row r="810" ht="15.75" customHeight="1">
      <c r="V810" s="14"/>
    </row>
    <row r="811" ht="15.75" customHeight="1">
      <c r="V811" s="14"/>
    </row>
    <row r="812" ht="15.75" customHeight="1">
      <c r="V812" s="14"/>
    </row>
    <row r="813" ht="15.75" customHeight="1">
      <c r="V813" s="14"/>
    </row>
    <row r="814" ht="15.75" customHeight="1">
      <c r="V814" s="14"/>
    </row>
    <row r="815" ht="15.75" customHeight="1">
      <c r="V815" s="14"/>
    </row>
    <row r="816" ht="15.75" customHeight="1">
      <c r="V816" s="14"/>
    </row>
    <row r="817" ht="15.75" customHeight="1">
      <c r="V817" s="14"/>
    </row>
    <row r="818" ht="15.75" customHeight="1">
      <c r="V818" s="14"/>
    </row>
    <row r="819" ht="15.75" customHeight="1">
      <c r="V819" s="14"/>
    </row>
    <row r="820" ht="15.75" customHeight="1">
      <c r="V820" s="14"/>
    </row>
    <row r="821" ht="15.75" customHeight="1">
      <c r="V821" s="14"/>
    </row>
    <row r="822" ht="15.75" customHeight="1">
      <c r="V822" s="14"/>
    </row>
    <row r="823" ht="15.75" customHeight="1">
      <c r="V823" s="14"/>
    </row>
    <row r="824" ht="15.75" customHeight="1">
      <c r="V824" s="14"/>
    </row>
    <row r="825" ht="15.75" customHeight="1">
      <c r="V825" s="14"/>
    </row>
    <row r="826" ht="15.75" customHeight="1">
      <c r="V826" s="14"/>
    </row>
    <row r="827" ht="15.75" customHeight="1">
      <c r="V827" s="14"/>
    </row>
    <row r="828" ht="15.75" customHeight="1">
      <c r="V828" s="14"/>
    </row>
    <row r="829" ht="15.75" customHeight="1">
      <c r="V829" s="14"/>
    </row>
    <row r="830" ht="15.75" customHeight="1">
      <c r="V830" s="14"/>
    </row>
    <row r="831" ht="15.75" customHeight="1">
      <c r="V831" s="14"/>
    </row>
    <row r="832" ht="15.75" customHeight="1">
      <c r="V832" s="14"/>
    </row>
    <row r="833" ht="15.75" customHeight="1">
      <c r="V833" s="14"/>
    </row>
    <row r="834" ht="15.75" customHeight="1">
      <c r="V834" s="14"/>
    </row>
    <row r="835" ht="15.75" customHeight="1">
      <c r="V835" s="14"/>
    </row>
    <row r="836" ht="15.75" customHeight="1">
      <c r="V836" s="14"/>
    </row>
    <row r="837" ht="15.75" customHeight="1">
      <c r="V837" s="14"/>
    </row>
    <row r="838" ht="15.75" customHeight="1">
      <c r="V838" s="14"/>
    </row>
    <row r="839" ht="15.75" customHeight="1">
      <c r="V839" s="14"/>
    </row>
    <row r="840" ht="15.75" customHeight="1">
      <c r="V840" s="14"/>
    </row>
    <row r="841" ht="15.75" customHeight="1">
      <c r="V841" s="14"/>
    </row>
    <row r="842" ht="15.75" customHeight="1">
      <c r="V842" s="14"/>
    </row>
    <row r="843" ht="15.75" customHeight="1">
      <c r="V843" s="14"/>
    </row>
    <row r="844" ht="15.75" customHeight="1">
      <c r="V844" s="14"/>
    </row>
    <row r="845" ht="15.75" customHeight="1">
      <c r="V845" s="14"/>
    </row>
    <row r="846" ht="15.75" customHeight="1">
      <c r="V846" s="14"/>
    </row>
    <row r="847" ht="15.75" customHeight="1">
      <c r="V847" s="14"/>
    </row>
    <row r="848" ht="15.75" customHeight="1">
      <c r="V848" s="14"/>
    </row>
    <row r="849" ht="15.75" customHeight="1">
      <c r="V849" s="14"/>
    </row>
    <row r="850" ht="15.75" customHeight="1">
      <c r="V850" s="14"/>
    </row>
    <row r="851" ht="15.75" customHeight="1">
      <c r="V851" s="14"/>
    </row>
    <row r="852" ht="15.75" customHeight="1">
      <c r="V852" s="14"/>
    </row>
    <row r="853" ht="15.75" customHeight="1">
      <c r="V853" s="14"/>
    </row>
    <row r="854" ht="15.75" customHeight="1">
      <c r="V854" s="14"/>
    </row>
    <row r="855" ht="15.75" customHeight="1">
      <c r="V855" s="14"/>
    </row>
    <row r="856" ht="15.75" customHeight="1">
      <c r="V856" s="14"/>
    </row>
    <row r="857" ht="15.75" customHeight="1">
      <c r="V857" s="14"/>
    </row>
    <row r="858" ht="15.75" customHeight="1">
      <c r="V858" s="14"/>
    </row>
    <row r="859" ht="15.75" customHeight="1">
      <c r="V859" s="14"/>
    </row>
    <row r="860" ht="15.75" customHeight="1">
      <c r="V860" s="14"/>
    </row>
    <row r="861" ht="15.75" customHeight="1">
      <c r="V861" s="14"/>
    </row>
    <row r="862" ht="15.75" customHeight="1">
      <c r="V862" s="14"/>
    </row>
    <row r="863" ht="15.75" customHeight="1">
      <c r="V863" s="14"/>
    </row>
    <row r="864" ht="15.75" customHeight="1">
      <c r="V864" s="14"/>
    </row>
    <row r="865" ht="15.75" customHeight="1">
      <c r="V865" s="14"/>
    </row>
    <row r="866" ht="15.75" customHeight="1">
      <c r="V866" s="14"/>
    </row>
    <row r="867" ht="15.75" customHeight="1">
      <c r="V867" s="14"/>
    </row>
    <row r="868" ht="15.75" customHeight="1">
      <c r="V868" s="14"/>
    </row>
    <row r="869" ht="15.75" customHeight="1">
      <c r="V869" s="14"/>
    </row>
    <row r="870" ht="15.75" customHeight="1">
      <c r="V870" s="14"/>
    </row>
    <row r="871" ht="15.75" customHeight="1">
      <c r="V871" s="14"/>
    </row>
    <row r="872" ht="15.75" customHeight="1">
      <c r="V872" s="14"/>
    </row>
    <row r="873" ht="15.75" customHeight="1">
      <c r="V873" s="14"/>
    </row>
    <row r="874" ht="15.75" customHeight="1">
      <c r="V874" s="14"/>
    </row>
    <row r="875" ht="15.75" customHeight="1">
      <c r="V875" s="14"/>
    </row>
    <row r="876" ht="15.75" customHeight="1">
      <c r="V876" s="14"/>
    </row>
    <row r="877" ht="15.75" customHeight="1">
      <c r="V877" s="14"/>
    </row>
    <row r="878" ht="15.75" customHeight="1">
      <c r="V878" s="14"/>
    </row>
    <row r="879" ht="15.75" customHeight="1">
      <c r="V879" s="14"/>
    </row>
    <row r="880" ht="15.75" customHeight="1">
      <c r="V880" s="14"/>
    </row>
    <row r="881" ht="15.75" customHeight="1">
      <c r="V881" s="14"/>
    </row>
    <row r="882" ht="15.75" customHeight="1">
      <c r="V882" s="14"/>
    </row>
    <row r="883" ht="15.75" customHeight="1">
      <c r="V883" s="14"/>
    </row>
    <row r="884" ht="15.75" customHeight="1">
      <c r="V884" s="14"/>
    </row>
    <row r="885" ht="15.75" customHeight="1">
      <c r="V885" s="14"/>
    </row>
    <row r="886" ht="15.75" customHeight="1">
      <c r="V886" s="14"/>
    </row>
    <row r="887" ht="15.75" customHeight="1">
      <c r="V887" s="14"/>
    </row>
    <row r="888" ht="15.75" customHeight="1">
      <c r="V888" s="14"/>
    </row>
    <row r="889" ht="15.75" customHeight="1">
      <c r="V889" s="14"/>
    </row>
    <row r="890" ht="15.75" customHeight="1">
      <c r="V890" s="14"/>
    </row>
    <row r="891" ht="15.75" customHeight="1">
      <c r="V891" s="14"/>
    </row>
    <row r="892" ht="15.75" customHeight="1">
      <c r="V892" s="14"/>
    </row>
    <row r="893" ht="15.75" customHeight="1">
      <c r="V893" s="14"/>
    </row>
    <row r="894" ht="15.75" customHeight="1">
      <c r="V894" s="14"/>
    </row>
    <row r="895" ht="15.75" customHeight="1">
      <c r="V895" s="14"/>
    </row>
    <row r="896" ht="15.75" customHeight="1">
      <c r="V896" s="14"/>
    </row>
    <row r="897" ht="15.75" customHeight="1">
      <c r="V897" s="14"/>
    </row>
    <row r="898" ht="15.75" customHeight="1">
      <c r="V898" s="14"/>
    </row>
    <row r="899" ht="15.75" customHeight="1">
      <c r="V899" s="14"/>
    </row>
    <row r="900" ht="15.75" customHeight="1">
      <c r="V900" s="14"/>
    </row>
    <row r="901" ht="15.75" customHeight="1">
      <c r="V901" s="14"/>
    </row>
    <row r="902" ht="15.75" customHeight="1">
      <c r="V902" s="14"/>
    </row>
    <row r="903" ht="15.75" customHeight="1">
      <c r="V903" s="14"/>
    </row>
    <row r="904" ht="15.75" customHeight="1">
      <c r="V904" s="14"/>
    </row>
    <row r="905" ht="15.75" customHeight="1">
      <c r="V905" s="14"/>
    </row>
    <row r="906" ht="15.75" customHeight="1">
      <c r="V906" s="14"/>
    </row>
    <row r="907" ht="15.75" customHeight="1">
      <c r="V907" s="14"/>
    </row>
    <row r="908" ht="15.75" customHeight="1">
      <c r="V908" s="14"/>
    </row>
    <row r="909" ht="15.75" customHeight="1">
      <c r="V909" s="14"/>
    </row>
    <row r="910" ht="15.75" customHeight="1">
      <c r="V910" s="14"/>
    </row>
    <row r="911" ht="15.75" customHeight="1">
      <c r="V911" s="14"/>
    </row>
    <row r="912" ht="15.75" customHeight="1">
      <c r="V912" s="14"/>
    </row>
    <row r="913" ht="15.75" customHeight="1">
      <c r="V913" s="14"/>
    </row>
    <row r="914" ht="15.75" customHeight="1">
      <c r="V914" s="14"/>
    </row>
    <row r="915" ht="15.75" customHeight="1">
      <c r="V915" s="14"/>
    </row>
    <row r="916" ht="15.75" customHeight="1">
      <c r="V916" s="14"/>
    </row>
    <row r="917" ht="15.75" customHeight="1">
      <c r="V917" s="14"/>
    </row>
    <row r="918" ht="15.75" customHeight="1">
      <c r="V918" s="14"/>
    </row>
    <row r="919" ht="15.75" customHeight="1">
      <c r="V919" s="14"/>
    </row>
    <row r="920" ht="15.75" customHeight="1">
      <c r="V920" s="14"/>
    </row>
    <row r="921" ht="15.75" customHeight="1">
      <c r="V921" s="14"/>
    </row>
    <row r="922" ht="15.75" customHeight="1">
      <c r="V922" s="14"/>
    </row>
    <row r="923" ht="15.75" customHeight="1">
      <c r="V923" s="14"/>
    </row>
    <row r="924" ht="15.75" customHeight="1">
      <c r="V924" s="14"/>
    </row>
    <row r="925" ht="15.75" customHeight="1">
      <c r="V925" s="14"/>
    </row>
    <row r="926" ht="15.75" customHeight="1">
      <c r="V926" s="14"/>
    </row>
    <row r="927" ht="15.75" customHeight="1">
      <c r="V927" s="14"/>
    </row>
    <row r="928" ht="15.75" customHeight="1">
      <c r="V928" s="14"/>
    </row>
    <row r="929" ht="15.75" customHeight="1">
      <c r="V929" s="14"/>
    </row>
    <row r="930" ht="15.75" customHeight="1">
      <c r="V930" s="14"/>
    </row>
    <row r="931" ht="15.75" customHeight="1">
      <c r="V931" s="14"/>
    </row>
    <row r="932" ht="15.75" customHeight="1">
      <c r="V932" s="14"/>
    </row>
    <row r="933" ht="15.75" customHeight="1">
      <c r="V933" s="14"/>
    </row>
    <row r="934" ht="15.75" customHeight="1">
      <c r="V934" s="14"/>
    </row>
    <row r="935" ht="15.75" customHeight="1">
      <c r="V935" s="14"/>
    </row>
    <row r="936" ht="15.75" customHeight="1">
      <c r="V936" s="14"/>
    </row>
    <row r="937" ht="15.75" customHeight="1">
      <c r="V937" s="14"/>
    </row>
    <row r="938" ht="15.75" customHeight="1">
      <c r="V938" s="14"/>
    </row>
    <row r="939" ht="15.75" customHeight="1">
      <c r="V939" s="14"/>
    </row>
    <row r="940" ht="15.75" customHeight="1">
      <c r="V940" s="14"/>
    </row>
    <row r="941" ht="15.75" customHeight="1">
      <c r="V941" s="14"/>
    </row>
    <row r="942" ht="15.75" customHeight="1">
      <c r="V942" s="14"/>
    </row>
    <row r="943" ht="15.75" customHeight="1">
      <c r="V943" s="14"/>
    </row>
    <row r="944" ht="15.75" customHeight="1">
      <c r="V944" s="14"/>
    </row>
    <row r="945" ht="15.75" customHeight="1">
      <c r="V945" s="14"/>
    </row>
    <row r="946" ht="15.75" customHeight="1">
      <c r="V946" s="14"/>
    </row>
    <row r="947" ht="15.75" customHeight="1">
      <c r="V947" s="14"/>
    </row>
    <row r="948" ht="15.75" customHeight="1">
      <c r="V948" s="14"/>
    </row>
    <row r="949" ht="15.75" customHeight="1">
      <c r="V949" s="14"/>
    </row>
    <row r="950" ht="15.75" customHeight="1">
      <c r="V950" s="14"/>
    </row>
    <row r="951" ht="15.75" customHeight="1">
      <c r="V951" s="14"/>
    </row>
    <row r="952" ht="15.75" customHeight="1">
      <c r="V952" s="14"/>
    </row>
    <row r="953" ht="15.75" customHeight="1">
      <c r="V953" s="14"/>
    </row>
    <row r="954" ht="15.75" customHeight="1">
      <c r="V954" s="14"/>
    </row>
    <row r="955" ht="15.75" customHeight="1">
      <c r="V955" s="14"/>
    </row>
    <row r="956" ht="15.75" customHeight="1">
      <c r="V956" s="14"/>
    </row>
    <row r="957" ht="15.75" customHeight="1">
      <c r="V957" s="14"/>
    </row>
    <row r="958" ht="15.75" customHeight="1">
      <c r="V958" s="14"/>
    </row>
    <row r="959" ht="15.75" customHeight="1">
      <c r="V959" s="14"/>
    </row>
    <row r="960" ht="15.75" customHeight="1">
      <c r="V960" s="14"/>
    </row>
    <row r="961" ht="15.75" customHeight="1">
      <c r="V961" s="14"/>
    </row>
    <row r="962" ht="15.75" customHeight="1">
      <c r="V962" s="14"/>
    </row>
    <row r="963" ht="15.75" customHeight="1">
      <c r="V963" s="14"/>
    </row>
    <row r="964" ht="15.75" customHeight="1">
      <c r="V964" s="14"/>
    </row>
    <row r="965" ht="15.75" customHeight="1">
      <c r="V965" s="14"/>
    </row>
    <row r="966" ht="15.75" customHeight="1">
      <c r="V966" s="14"/>
    </row>
    <row r="967" ht="15.75" customHeight="1">
      <c r="V967" s="14"/>
    </row>
    <row r="968" ht="15.75" customHeight="1">
      <c r="V968" s="14"/>
    </row>
    <row r="969" ht="15.75" customHeight="1">
      <c r="V969" s="14"/>
    </row>
    <row r="970" ht="15.75" customHeight="1">
      <c r="V970" s="14"/>
    </row>
    <row r="971" ht="15.75" customHeight="1">
      <c r="V971" s="14"/>
    </row>
    <row r="972" ht="15.75" customHeight="1">
      <c r="V972" s="14"/>
    </row>
    <row r="973" ht="15.75" customHeight="1">
      <c r="V973" s="14"/>
    </row>
    <row r="974" ht="15.75" customHeight="1">
      <c r="V974" s="14"/>
    </row>
    <row r="975" ht="15.75" customHeight="1">
      <c r="V975" s="14"/>
    </row>
    <row r="976" ht="15.75" customHeight="1">
      <c r="V976" s="14"/>
    </row>
    <row r="977" ht="15.75" customHeight="1">
      <c r="V977" s="14"/>
    </row>
    <row r="978" ht="15.75" customHeight="1">
      <c r="V978" s="14"/>
    </row>
    <row r="979" ht="15.75" customHeight="1">
      <c r="V979" s="14"/>
    </row>
    <row r="980" ht="15.75" customHeight="1">
      <c r="V980" s="14"/>
    </row>
    <row r="981" ht="15.75" customHeight="1">
      <c r="V981" s="14"/>
    </row>
    <row r="982" ht="15.75" customHeight="1">
      <c r="V982" s="14"/>
    </row>
    <row r="983" ht="15.75" customHeight="1">
      <c r="V983" s="14"/>
    </row>
    <row r="984" ht="15.75" customHeight="1">
      <c r="V984" s="14"/>
    </row>
    <row r="985" ht="15.75" customHeight="1">
      <c r="V985" s="14"/>
    </row>
    <row r="986" ht="15.75" customHeight="1">
      <c r="V986" s="14"/>
    </row>
    <row r="987" ht="15.75" customHeight="1">
      <c r="V987" s="14"/>
    </row>
    <row r="988" ht="15.75" customHeight="1">
      <c r="V988" s="14"/>
    </row>
    <row r="989" ht="15.75" customHeight="1">
      <c r="V989" s="14"/>
    </row>
    <row r="990" ht="15.75" customHeight="1">
      <c r="V990" s="14"/>
    </row>
    <row r="991" ht="15.75" customHeight="1">
      <c r="V991" s="14"/>
    </row>
    <row r="992" ht="15.75" customHeight="1">
      <c r="V992" s="14"/>
    </row>
    <row r="993" ht="15.75" customHeight="1">
      <c r="V993" s="14"/>
    </row>
    <row r="994" ht="15.75" customHeight="1">
      <c r="V994" s="14"/>
    </row>
    <row r="995" ht="15.75" customHeight="1">
      <c r="V995" s="14"/>
    </row>
    <row r="996" ht="15.75" customHeight="1">
      <c r="V996" s="14"/>
    </row>
    <row r="997" ht="15.75" customHeight="1">
      <c r="V997" s="14"/>
    </row>
    <row r="998" ht="15.75" customHeight="1">
      <c r="V998" s="14"/>
    </row>
    <row r="999" ht="15.75" customHeight="1">
      <c r="V999" s="14"/>
    </row>
    <row r="1000" ht="15.75" customHeight="1">
      <c r="V1000" s="14"/>
    </row>
  </sheetData>
  <autoFilter ref="$A$1:$X$10"/>
  <dataValidations>
    <dataValidation type="list" allowBlank="1" sqref="T2:T10">
      <formula1>"approve,approve with my value,reject,ask AEA,skip for now"</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6.57"/>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171</v>
      </c>
      <c r="B2" s="4">
        <v>902.0</v>
      </c>
      <c r="C2" s="4">
        <v>935.0</v>
      </c>
      <c r="D2" s="4" t="s">
        <v>172</v>
      </c>
      <c r="E2" s="4" t="s">
        <v>173</v>
      </c>
      <c r="F2" s="4" t="s">
        <v>121</v>
      </c>
      <c r="G2" s="4">
        <v>64.856066</v>
      </c>
      <c r="H2" s="4">
        <v>-147.802751</v>
      </c>
      <c r="I2" s="4">
        <v>60.58319</v>
      </c>
      <c r="J2" s="4">
        <v>-151.30288</v>
      </c>
      <c r="K2" s="4" t="s">
        <v>175</v>
      </c>
      <c r="L2" s="4" t="s">
        <v>176</v>
      </c>
      <c r="M2" s="4" t="s">
        <v>40</v>
      </c>
      <c r="N2" s="6" t="s">
        <v>178</v>
      </c>
      <c r="O2" s="4" t="s">
        <v>42</v>
      </c>
      <c r="P2" s="4">
        <v>64.85608</v>
      </c>
      <c r="Q2" s="4">
        <v>-147.80261</v>
      </c>
      <c r="R2" s="8" t="str">
        <f>HYPERLINK("https://www.google.com/maps?q=64.856066,-147.802751","map: stored")</f>
        <v>map: stored</v>
      </c>
      <c r="S2" s="8" t="str">
        <f>HYPERLINK("https://www.google.com/maps?q=60.583190,-151.302880","map: proposed")</f>
        <v>map: proposed</v>
      </c>
      <c r="T2" s="9" t="s">
        <v>22</v>
      </c>
      <c r="U2" s="19" t="s">
        <v>190</v>
      </c>
      <c r="V2" s="10" t="s">
        <v>192</v>
      </c>
      <c r="W2" s="9" t="s">
        <v>69</v>
      </c>
      <c r="X2" s="15">
        <v>46300.0</v>
      </c>
    </row>
    <row r="3">
      <c r="A3" s="4" t="s">
        <v>193</v>
      </c>
      <c r="B3" s="4">
        <v>1595.0</v>
      </c>
      <c r="C3" s="4">
        <v>1006.0</v>
      </c>
      <c r="D3" s="4" t="s">
        <v>194</v>
      </c>
      <c r="E3" s="4" t="s">
        <v>195</v>
      </c>
      <c r="F3" s="4" t="s">
        <v>121</v>
      </c>
      <c r="G3" s="4">
        <v>66.549243</v>
      </c>
      <c r="H3" s="4">
        <v>-152.632721</v>
      </c>
      <c r="I3" s="4">
        <v>55.55317</v>
      </c>
      <c r="J3" s="4">
        <v>-133.08533</v>
      </c>
      <c r="K3" s="4" t="s">
        <v>196</v>
      </c>
      <c r="L3" s="4" t="s">
        <v>197</v>
      </c>
      <c r="M3" s="4" t="s">
        <v>40</v>
      </c>
      <c r="N3" s="6" t="s">
        <v>198</v>
      </c>
      <c r="O3" s="4" t="s">
        <v>42</v>
      </c>
      <c r="P3" s="4">
        <v>66.54932</v>
      </c>
      <c r="Q3" s="4">
        <v>-152.63269</v>
      </c>
      <c r="R3" s="8" t="str">
        <f>HYPERLINK("https://www.google.com/maps?q=66.549243,-152.632721","map: stored")</f>
        <v>map: stored</v>
      </c>
      <c r="S3" s="8" t="str">
        <f>HYPERLINK("https://www.google.com/maps?q=55.553170,-133.085330","map: proposed")</f>
        <v>map: proposed</v>
      </c>
      <c r="T3" s="9" t="s">
        <v>22</v>
      </c>
      <c r="U3" s="9" t="s">
        <v>199</v>
      </c>
      <c r="V3" s="10" t="s">
        <v>200</v>
      </c>
      <c r="W3" s="9" t="s">
        <v>69</v>
      </c>
      <c r="X3" s="15">
        <v>46300.0</v>
      </c>
    </row>
    <row r="4">
      <c r="A4" s="4" t="s">
        <v>201</v>
      </c>
      <c r="B4" s="4">
        <v>1671.0</v>
      </c>
      <c r="C4" s="4">
        <v>1218.0</v>
      </c>
      <c r="D4" s="4" t="s">
        <v>202</v>
      </c>
      <c r="E4" s="4" t="s">
        <v>203</v>
      </c>
      <c r="F4" s="4" t="s">
        <v>121</v>
      </c>
      <c r="G4" s="4">
        <v>59.934137</v>
      </c>
      <c r="H4" s="4">
        <v>-164.038194</v>
      </c>
      <c r="I4" s="4">
        <v>60.94047</v>
      </c>
      <c r="J4" s="4">
        <v>-164.63101</v>
      </c>
      <c r="K4" s="4" t="s">
        <v>204</v>
      </c>
      <c r="L4" s="4" t="s">
        <v>205</v>
      </c>
      <c r="M4" s="4" t="s">
        <v>40</v>
      </c>
      <c r="N4" s="6" t="s">
        <v>206</v>
      </c>
      <c r="O4" s="4" t="s">
        <v>42</v>
      </c>
      <c r="P4" s="4">
        <v>59.93408</v>
      </c>
      <c r="Q4" s="4">
        <v>-164.03821</v>
      </c>
      <c r="R4" s="8" t="str">
        <f>HYPERLINK("https://www.google.com/maps?q=59.934137,-164.038194","map: stored")</f>
        <v>map: stored</v>
      </c>
      <c r="S4" s="8" t="str">
        <f>HYPERLINK("https://www.google.com/maps?q=60.940470,-164.631010","map: proposed")</f>
        <v>map: proposed</v>
      </c>
      <c r="T4" s="9" t="s">
        <v>24</v>
      </c>
      <c r="U4" s="12"/>
      <c r="V4" s="10" t="s">
        <v>207</v>
      </c>
      <c r="W4" s="9" t="s">
        <v>69</v>
      </c>
      <c r="X4" s="15">
        <v>46300.0</v>
      </c>
    </row>
    <row r="5">
      <c r="A5" s="4" t="s">
        <v>208</v>
      </c>
      <c r="B5" s="4">
        <v>1692.0</v>
      </c>
      <c r="C5" s="4">
        <v>1273.0</v>
      </c>
      <c r="D5" s="4" t="s">
        <v>209</v>
      </c>
      <c r="E5" s="4" t="s">
        <v>210</v>
      </c>
      <c r="F5" s="4" t="s">
        <v>121</v>
      </c>
      <c r="G5" s="4">
        <v>64.322902</v>
      </c>
      <c r="H5" s="4">
        <v>-158.724053</v>
      </c>
      <c r="I5" s="4">
        <v>66.83375</v>
      </c>
      <c r="J5" s="4">
        <v>-161.039</v>
      </c>
      <c r="K5" s="4" t="s">
        <v>211</v>
      </c>
      <c r="L5" s="4" t="s">
        <v>212</v>
      </c>
      <c r="M5" s="4" t="s">
        <v>40</v>
      </c>
      <c r="N5" s="6" t="s">
        <v>213</v>
      </c>
      <c r="O5" s="4" t="s">
        <v>42</v>
      </c>
      <c r="P5" s="4">
        <v>64.32288</v>
      </c>
      <c r="Q5" s="4">
        <v>-158.724</v>
      </c>
      <c r="R5" s="8" t="str">
        <f>HYPERLINK("https://www.google.com/maps?q=64.322902,-158.724053","map: stored")</f>
        <v>map: stored</v>
      </c>
      <c r="S5" s="8" t="str">
        <f>HYPERLINK("https://www.google.com/maps?q=66.833750,-161.039000","map: proposed")</f>
        <v>map: proposed</v>
      </c>
      <c r="T5" s="12"/>
      <c r="U5" s="12"/>
      <c r="V5" s="10" t="s">
        <v>214</v>
      </c>
      <c r="W5" s="9" t="s">
        <v>69</v>
      </c>
      <c r="X5" s="15">
        <v>46300.0</v>
      </c>
    </row>
    <row r="6">
      <c r="V6" s="14"/>
    </row>
    <row r="7">
      <c r="V7" s="14"/>
    </row>
    <row r="8">
      <c r="V8" s="14"/>
    </row>
    <row r="9">
      <c r="V9" s="14"/>
    </row>
    <row r="10">
      <c r="V10" s="14"/>
    </row>
    <row r="11">
      <c r="V11" s="14"/>
    </row>
    <row r="12">
      <c r="V12" s="14"/>
    </row>
    <row r="13">
      <c r="V13" s="14"/>
    </row>
    <row r="14">
      <c r="V14" s="14"/>
    </row>
    <row r="15">
      <c r="V15" s="14"/>
    </row>
    <row r="16">
      <c r="V16" s="14"/>
    </row>
    <row r="17">
      <c r="V17" s="14"/>
    </row>
    <row r="18">
      <c r="V18" s="14"/>
    </row>
    <row r="19">
      <c r="V19" s="14"/>
    </row>
    <row r="20">
      <c r="V20" s="14"/>
    </row>
    <row r="21" ht="15.75" customHeight="1">
      <c r="V21" s="14"/>
    </row>
    <row r="22" ht="15.75" customHeight="1">
      <c r="V22" s="14"/>
    </row>
    <row r="23" ht="15.75" customHeight="1">
      <c r="V23" s="14"/>
    </row>
    <row r="24" ht="15.75" customHeight="1">
      <c r="V24" s="14"/>
    </row>
    <row r="25" ht="15.75" customHeight="1">
      <c r="V25" s="14"/>
    </row>
    <row r="26" ht="15.75" customHeight="1">
      <c r="V26" s="14"/>
    </row>
    <row r="27" ht="15.75" customHeight="1">
      <c r="V27" s="14"/>
    </row>
    <row r="28" ht="15.75" customHeight="1">
      <c r="V28" s="14"/>
    </row>
    <row r="29" ht="15.75" customHeight="1">
      <c r="V29" s="14"/>
    </row>
    <row r="30" ht="15.75" customHeight="1">
      <c r="V30" s="14"/>
    </row>
    <row r="31" ht="15.75" customHeight="1">
      <c r="V31" s="14"/>
    </row>
    <row r="32" ht="15.75" customHeight="1">
      <c r="V32" s="14"/>
    </row>
    <row r="33" ht="15.75" customHeight="1">
      <c r="V33" s="14"/>
    </row>
    <row r="34" ht="15.75" customHeight="1">
      <c r="V34" s="14"/>
    </row>
    <row r="35" ht="15.75" customHeight="1">
      <c r="V35" s="14"/>
    </row>
    <row r="36" ht="15.75" customHeight="1">
      <c r="V36" s="14"/>
    </row>
    <row r="37" ht="15.75" customHeight="1">
      <c r="V37" s="14"/>
    </row>
    <row r="38" ht="15.75" customHeight="1">
      <c r="V38" s="14"/>
    </row>
    <row r="39" ht="15.75" customHeight="1">
      <c r="V39" s="14"/>
    </row>
    <row r="40" ht="15.75" customHeight="1">
      <c r="V40" s="14"/>
    </row>
    <row r="41" ht="15.75" customHeight="1">
      <c r="V41" s="14"/>
    </row>
    <row r="42" ht="15.75" customHeight="1">
      <c r="V42" s="14"/>
    </row>
    <row r="43" ht="15.75" customHeight="1">
      <c r="V43" s="14"/>
    </row>
    <row r="44" ht="15.75" customHeight="1">
      <c r="V44" s="14"/>
    </row>
    <row r="45" ht="15.75" customHeight="1">
      <c r="V45" s="14"/>
    </row>
    <row r="46" ht="15.75" customHeight="1">
      <c r="V46" s="14"/>
    </row>
    <row r="47" ht="15.75" customHeight="1">
      <c r="V47" s="14"/>
    </row>
    <row r="48" ht="15.75" customHeight="1">
      <c r="V48" s="14"/>
    </row>
    <row r="49" ht="15.75" customHeight="1">
      <c r="V49" s="14"/>
    </row>
    <row r="50" ht="15.75" customHeight="1">
      <c r="V50" s="14"/>
    </row>
    <row r="51" ht="15.75" customHeight="1">
      <c r="V51" s="14"/>
    </row>
    <row r="52" ht="15.75" customHeight="1">
      <c r="V52" s="14"/>
    </row>
    <row r="53" ht="15.75" customHeight="1">
      <c r="V53" s="14"/>
    </row>
    <row r="54" ht="15.75" customHeight="1">
      <c r="V54" s="14"/>
    </row>
    <row r="55" ht="15.75" customHeight="1">
      <c r="V55" s="14"/>
    </row>
    <row r="56" ht="15.75" customHeight="1">
      <c r="V56" s="14"/>
    </row>
    <row r="57" ht="15.75" customHeight="1">
      <c r="V57" s="14"/>
    </row>
    <row r="58" ht="15.75" customHeight="1">
      <c r="V58" s="14"/>
    </row>
    <row r="59" ht="15.75" customHeight="1">
      <c r="V59" s="14"/>
    </row>
    <row r="60" ht="15.75" customHeight="1">
      <c r="V60" s="14"/>
    </row>
    <row r="61" ht="15.75" customHeight="1">
      <c r="V61" s="14"/>
    </row>
    <row r="62" ht="15.75" customHeight="1">
      <c r="V62" s="14"/>
    </row>
    <row r="63" ht="15.75" customHeight="1">
      <c r="V63" s="14"/>
    </row>
    <row r="64" ht="15.75" customHeight="1">
      <c r="V64" s="14"/>
    </row>
    <row r="65" ht="15.75" customHeight="1">
      <c r="V65" s="14"/>
    </row>
    <row r="66" ht="15.75" customHeight="1">
      <c r="V66" s="14"/>
    </row>
    <row r="67" ht="15.75" customHeight="1">
      <c r="V67" s="14"/>
    </row>
    <row r="68" ht="15.75" customHeight="1">
      <c r="V68" s="14"/>
    </row>
    <row r="69" ht="15.75" customHeight="1">
      <c r="V69" s="14"/>
    </row>
    <row r="70" ht="15.75" customHeight="1">
      <c r="V70" s="14"/>
    </row>
    <row r="71" ht="15.75" customHeight="1">
      <c r="V71" s="14"/>
    </row>
    <row r="72" ht="15.75" customHeight="1">
      <c r="V72" s="14"/>
    </row>
    <row r="73" ht="15.75" customHeight="1">
      <c r="V73" s="14"/>
    </row>
    <row r="74" ht="15.75" customHeight="1">
      <c r="V74" s="14"/>
    </row>
    <row r="75" ht="15.75" customHeight="1">
      <c r="V75" s="14"/>
    </row>
    <row r="76" ht="15.75" customHeight="1">
      <c r="V76" s="14"/>
    </row>
    <row r="77" ht="15.75" customHeight="1">
      <c r="V77" s="14"/>
    </row>
    <row r="78" ht="15.75" customHeight="1">
      <c r="V78" s="14"/>
    </row>
    <row r="79" ht="15.75" customHeight="1">
      <c r="V79" s="14"/>
    </row>
    <row r="80" ht="15.75" customHeight="1">
      <c r="V80" s="14"/>
    </row>
    <row r="81" ht="15.75" customHeight="1">
      <c r="V81" s="14"/>
    </row>
    <row r="82" ht="15.75" customHeight="1">
      <c r="V82" s="14"/>
    </row>
    <row r="83" ht="15.75" customHeight="1">
      <c r="V83" s="14"/>
    </row>
    <row r="84" ht="15.75" customHeight="1">
      <c r="V84" s="14"/>
    </row>
    <row r="85" ht="15.75" customHeight="1">
      <c r="V85" s="14"/>
    </row>
    <row r="86" ht="15.75" customHeight="1">
      <c r="V86" s="14"/>
    </row>
    <row r="87" ht="15.75" customHeight="1">
      <c r="V87" s="14"/>
    </row>
    <row r="88" ht="15.75" customHeight="1">
      <c r="V88" s="14"/>
    </row>
    <row r="89" ht="15.75" customHeight="1">
      <c r="V89" s="14"/>
    </row>
    <row r="90" ht="15.75" customHeight="1">
      <c r="V90" s="14"/>
    </row>
    <row r="91" ht="15.75" customHeight="1">
      <c r="V91" s="14"/>
    </row>
    <row r="92" ht="15.75" customHeight="1">
      <c r="V92" s="14"/>
    </row>
    <row r="93" ht="15.75" customHeight="1">
      <c r="V93" s="14"/>
    </row>
    <row r="94" ht="15.75" customHeight="1">
      <c r="V94" s="14"/>
    </row>
    <row r="95" ht="15.75" customHeight="1">
      <c r="V95" s="14"/>
    </row>
    <row r="96" ht="15.75" customHeight="1">
      <c r="V96" s="14"/>
    </row>
    <row r="97" ht="15.75" customHeight="1">
      <c r="V97" s="14"/>
    </row>
    <row r="98" ht="15.75" customHeight="1">
      <c r="V98" s="14"/>
    </row>
    <row r="99" ht="15.75" customHeight="1">
      <c r="V99" s="14"/>
    </row>
    <row r="100" ht="15.75" customHeight="1">
      <c r="V100" s="14"/>
    </row>
    <row r="101" ht="15.75" customHeight="1">
      <c r="V101" s="14"/>
    </row>
    <row r="102" ht="15.75" customHeight="1">
      <c r="V102" s="14"/>
    </row>
    <row r="103" ht="15.75" customHeight="1">
      <c r="V103" s="14"/>
    </row>
    <row r="104" ht="15.75" customHeight="1">
      <c r="V104" s="14"/>
    </row>
    <row r="105" ht="15.75" customHeight="1">
      <c r="V105" s="14"/>
    </row>
    <row r="106" ht="15.75" customHeight="1">
      <c r="V106" s="14"/>
    </row>
    <row r="107" ht="15.75" customHeight="1">
      <c r="V107" s="14"/>
    </row>
    <row r="108" ht="15.75" customHeight="1">
      <c r="V108" s="14"/>
    </row>
    <row r="109" ht="15.75" customHeight="1">
      <c r="V109" s="14"/>
    </row>
    <row r="110" ht="15.75" customHeight="1">
      <c r="V110" s="14"/>
    </row>
    <row r="111" ht="15.75" customHeight="1">
      <c r="V111" s="14"/>
    </row>
    <row r="112" ht="15.75" customHeight="1">
      <c r="V112" s="14"/>
    </row>
    <row r="113" ht="15.75" customHeight="1">
      <c r="V113" s="14"/>
    </row>
    <row r="114" ht="15.75" customHeight="1">
      <c r="V114" s="14"/>
    </row>
    <row r="115" ht="15.75" customHeight="1">
      <c r="V115" s="14"/>
    </row>
    <row r="116" ht="15.75" customHeight="1">
      <c r="V116" s="14"/>
    </row>
    <row r="117" ht="15.75" customHeight="1">
      <c r="V117" s="14"/>
    </row>
    <row r="118" ht="15.75" customHeight="1">
      <c r="V118" s="14"/>
    </row>
    <row r="119" ht="15.75" customHeight="1">
      <c r="V119" s="14"/>
    </row>
    <row r="120" ht="15.75" customHeight="1">
      <c r="V120" s="14"/>
    </row>
    <row r="121" ht="15.75" customHeight="1">
      <c r="V121" s="14"/>
    </row>
    <row r="122" ht="15.75" customHeight="1">
      <c r="V122" s="14"/>
    </row>
    <row r="123" ht="15.75" customHeight="1">
      <c r="V123" s="14"/>
    </row>
    <row r="124" ht="15.75" customHeight="1">
      <c r="V124" s="14"/>
    </row>
    <row r="125" ht="15.75" customHeight="1">
      <c r="V125" s="14"/>
    </row>
    <row r="126" ht="15.75" customHeight="1">
      <c r="V126" s="14"/>
    </row>
    <row r="127" ht="15.75" customHeight="1">
      <c r="V127" s="14"/>
    </row>
    <row r="128" ht="15.75" customHeight="1">
      <c r="V128" s="14"/>
    </row>
    <row r="129" ht="15.75" customHeight="1">
      <c r="V129" s="14"/>
    </row>
    <row r="130" ht="15.75" customHeight="1">
      <c r="V130" s="14"/>
    </row>
    <row r="131" ht="15.75" customHeight="1">
      <c r="V131" s="14"/>
    </row>
    <row r="132" ht="15.75" customHeight="1">
      <c r="V132" s="14"/>
    </row>
    <row r="133" ht="15.75" customHeight="1">
      <c r="V133" s="14"/>
    </row>
    <row r="134" ht="15.75" customHeight="1">
      <c r="V134" s="14"/>
    </row>
    <row r="135" ht="15.75" customHeight="1">
      <c r="V135" s="14"/>
    </row>
    <row r="136" ht="15.75" customHeight="1">
      <c r="V136" s="14"/>
    </row>
    <row r="137" ht="15.75" customHeight="1">
      <c r="V137" s="14"/>
    </row>
    <row r="138" ht="15.75" customHeight="1">
      <c r="V138" s="14"/>
    </row>
    <row r="139" ht="15.75" customHeight="1">
      <c r="V139" s="14"/>
    </row>
    <row r="140" ht="15.75" customHeight="1">
      <c r="V140" s="14"/>
    </row>
    <row r="141" ht="15.75" customHeight="1">
      <c r="V141" s="14"/>
    </row>
    <row r="142" ht="15.75" customHeight="1">
      <c r="V142" s="14"/>
    </row>
    <row r="143" ht="15.75" customHeight="1">
      <c r="V143" s="14"/>
    </row>
    <row r="144" ht="15.75" customHeight="1">
      <c r="V144" s="14"/>
    </row>
    <row r="145" ht="15.75" customHeight="1">
      <c r="V145" s="14"/>
    </row>
    <row r="146" ht="15.75" customHeight="1">
      <c r="V146" s="14"/>
    </row>
    <row r="147" ht="15.75" customHeight="1">
      <c r="V147" s="14"/>
    </row>
    <row r="148" ht="15.75" customHeight="1">
      <c r="V148" s="14"/>
    </row>
    <row r="149" ht="15.75" customHeight="1">
      <c r="V149" s="14"/>
    </row>
    <row r="150" ht="15.75" customHeight="1">
      <c r="V150" s="14"/>
    </row>
    <row r="151" ht="15.75" customHeight="1">
      <c r="V151" s="14"/>
    </row>
    <row r="152" ht="15.75" customHeight="1">
      <c r="V152" s="14"/>
    </row>
    <row r="153" ht="15.75" customHeight="1">
      <c r="V153" s="14"/>
    </row>
    <row r="154" ht="15.75" customHeight="1">
      <c r="V154" s="14"/>
    </row>
    <row r="155" ht="15.75" customHeight="1">
      <c r="V155" s="14"/>
    </row>
    <row r="156" ht="15.75" customHeight="1">
      <c r="V156" s="14"/>
    </row>
    <row r="157" ht="15.75" customHeight="1">
      <c r="V157" s="14"/>
    </row>
    <row r="158" ht="15.75" customHeight="1">
      <c r="V158" s="14"/>
    </row>
    <row r="159" ht="15.75" customHeight="1">
      <c r="V159" s="14"/>
    </row>
    <row r="160" ht="15.75" customHeight="1">
      <c r="V160" s="14"/>
    </row>
    <row r="161" ht="15.75" customHeight="1">
      <c r="V161" s="14"/>
    </row>
    <row r="162" ht="15.75" customHeight="1">
      <c r="V162" s="14"/>
    </row>
    <row r="163" ht="15.75" customHeight="1">
      <c r="V163" s="14"/>
    </row>
    <row r="164" ht="15.75" customHeight="1">
      <c r="V164" s="14"/>
    </row>
    <row r="165" ht="15.75" customHeight="1">
      <c r="V165" s="14"/>
    </row>
    <row r="166" ht="15.75" customHeight="1">
      <c r="V166" s="14"/>
    </row>
    <row r="167" ht="15.75" customHeight="1">
      <c r="V167" s="14"/>
    </row>
    <row r="168" ht="15.75" customHeight="1">
      <c r="V168" s="14"/>
    </row>
    <row r="169" ht="15.75" customHeight="1">
      <c r="V169" s="14"/>
    </row>
    <row r="170" ht="15.75" customHeight="1">
      <c r="V170" s="14"/>
    </row>
    <row r="171" ht="15.75" customHeight="1">
      <c r="V171" s="14"/>
    </row>
    <row r="172" ht="15.75" customHeight="1">
      <c r="V172" s="14"/>
    </row>
    <row r="173" ht="15.75" customHeight="1">
      <c r="V173" s="14"/>
    </row>
    <row r="174" ht="15.75" customHeight="1">
      <c r="V174" s="14"/>
    </row>
    <row r="175" ht="15.75" customHeight="1">
      <c r="V175" s="14"/>
    </row>
    <row r="176" ht="15.75" customHeight="1">
      <c r="V176" s="14"/>
    </row>
    <row r="177" ht="15.75" customHeight="1">
      <c r="V177" s="14"/>
    </row>
    <row r="178" ht="15.75" customHeight="1">
      <c r="V178" s="14"/>
    </row>
    <row r="179" ht="15.75" customHeight="1">
      <c r="V179" s="14"/>
    </row>
    <row r="180" ht="15.75" customHeight="1">
      <c r="V180" s="14"/>
    </row>
    <row r="181" ht="15.75" customHeight="1">
      <c r="V181" s="14"/>
    </row>
    <row r="182" ht="15.75" customHeight="1">
      <c r="V182" s="14"/>
    </row>
    <row r="183" ht="15.75" customHeight="1">
      <c r="V183" s="14"/>
    </row>
    <row r="184" ht="15.75" customHeight="1">
      <c r="V184" s="14"/>
    </row>
    <row r="185" ht="15.75" customHeight="1">
      <c r="V185" s="14"/>
    </row>
    <row r="186" ht="15.75" customHeight="1">
      <c r="V186" s="14"/>
    </row>
    <row r="187" ht="15.75" customHeight="1">
      <c r="V187" s="14"/>
    </row>
    <row r="188" ht="15.75" customHeight="1">
      <c r="V188" s="14"/>
    </row>
    <row r="189" ht="15.75" customHeight="1">
      <c r="V189" s="14"/>
    </row>
    <row r="190" ht="15.75" customHeight="1">
      <c r="V190" s="14"/>
    </row>
    <row r="191" ht="15.75" customHeight="1">
      <c r="V191" s="14"/>
    </row>
    <row r="192" ht="15.75" customHeight="1">
      <c r="V192" s="14"/>
    </row>
    <row r="193" ht="15.75" customHeight="1">
      <c r="V193" s="14"/>
    </row>
    <row r="194" ht="15.75" customHeight="1">
      <c r="V194" s="14"/>
    </row>
    <row r="195" ht="15.75" customHeight="1">
      <c r="V195" s="14"/>
    </row>
    <row r="196" ht="15.75" customHeight="1">
      <c r="V196" s="14"/>
    </row>
    <row r="197" ht="15.75" customHeight="1">
      <c r="V197" s="14"/>
    </row>
    <row r="198" ht="15.75" customHeight="1">
      <c r="V198" s="14"/>
    </row>
    <row r="199" ht="15.75" customHeight="1">
      <c r="V199" s="14"/>
    </row>
    <row r="200" ht="15.75" customHeight="1">
      <c r="V200" s="14"/>
    </row>
    <row r="201" ht="15.75" customHeight="1">
      <c r="V201" s="14"/>
    </row>
    <row r="202" ht="15.75" customHeight="1">
      <c r="V202" s="14"/>
    </row>
    <row r="203" ht="15.75" customHeight="1">
      <c r="V203" s="14"/>
    </row>
    <row r="204" ht="15.75" customHeight="1">
      <c r="V204" s="14"/>
    </row>
    <row r="205" ht="15.75" customHeight="1">
      <c r="V205" s="14"/>
    </row>
    <row r="206" ht="15.75" customHeight="1">
      <c r="V206" s="14"/>
    </row>
    <row r="207" ht="15.75" customHeight="1">
      <c r="V207" s="14"/>
    </row>
    <row r="208" ht="15.75" customHeight="1">
      <c r="V208" s="14"/>
    </row>
    <row r="209" ht="15.75" customHeight="1">
      <c r="V209" s="14"/>
    </row>
    <row r="210" ht="15.75" customHeight="1">
      <c r="V210" s="14"/>
    </row>
    <row r="211" ht="15.75" customHeight="1">
      <c r="V211" s="14"/>
    </row>
    <row r="212" ht="15.75" customHeight="1">
      <c r="V212" s="14"/>
    </row>
    <row r="213" ht="15.75" customHeight="1">
      <c r="V213" s="14"/>
    </row>
    <row r="214" ht="15.75" customHeight="1">
      <c r="V214" s="14"/>
    </row>
    <row r="215" ht="15.75" customHeight="1">
      <c r="V215" s="14"/>
    </row>
    <row r="216" ht="15.75" customHeight="1">
      <c r="V216" s="14"/>
    </row>
    <row r="217" ht="15.75" customHeight="1">
      <c r="V217" s="14"/>
    </row>
    <row r="218" ht="15.75" customHeight="1">
      <c r="V218" s="14"/>
    </row>
    <row r="219" ht="15.75" customHeight="1">
      <c r="V219" s="14"/>
    </row>
    <row r="220" ht="15.75" customHeight="1">
      <c r="V220" s="14"/>
    </row>
    <row r="221" ht="15.75" customHeight="1">
      <c r="V221" s="14"/>
    </row>
    <row r="222" ht="15.75" customHeight="1">
      <c r="V222" s="14"/>
    </row>
    <row r="223" ht="15.75" customHeight="1">
      <c r="V223" s="14"/>
    </row>
    <row r="224" ht="15.75" customHeight="1">
      <c r="V224" s="14"/>
    </row>
    <row r="225" ht="15.75" customHeight="1">
      <c r="V225" s="14"/>
    </row>
    <row r="226" ht="15.75" customHeight="1">
      <c r="V226" s="14"/>
    </row>
    <row r="227" ht="15.75" customHeight="1">
      <c r="V227" s="14"/>
    </row>
    <row r="228" ht="15.75" customHeight="1">
      <c r="V228" s="14"/>
    </row>
    <row r="229" ht="15.75" customHeight="1">
      <c r="V229" s="14"/>
    </row>
    <row r="230" ht="15.75" customHeight="1">
      <c r="V230" s="14"/>
    </row>
    <row r="231" ht="15.75" customHeight="1">
      <c r="V231" s="14"/>
    </row>
    <row r="232" ht="15.75" customHeight="1">
      <c r="V232" s="14"/>
    </row>
    <row r="233" ht="15.75" customHeight="1">
      <c r="V233" s="14"/>
    </row>
    <row r="234" ht="15.75" customHeight="1">
      <c r="V234" s="14"/>
    </row>
    <row r="235" ht="15.75" customHeight="1">
      <c r="V235" s="14"/>
    </row>
    <row r="236" ht="15.75" customHeight="1">
      <c r="V236" s="14"/>
    </row>
    <row r="237" ht="15.75" customHeight="1">
      <c r="V237" s="14"/>
    </row>
    <row r="238" ht="15.75" customHeight="1">
      <c r="V238" s="14"/>
    </row>
    <row r="239" ht="15.75" customHeight="1">
      <c r="V239" s="14"/>
    </row>
    <row r="240" ht="15.75" customHeight="1">
      <c r="V240" s="14"/>
    </row>
    <row r="241" ht="15.75" customHeight="1">
      <c r="V241" s="14"/>
    </row>
    <row r="242" ht="15.75" customHeight="1">
      <c r="V242" s="14"/>
    </row>
    <row r="243" ht="15.75" customHeight="1">
      <c r="V243" s="14"/>
    </row>
    <row r="244" ht="15.75" customHeight="1">
      <c r="V244" s="14"/>
    </row>
    <row r="245" ht="15.75" customHeight="1">
      <c r="V245" s="14"/>
    </row>
    <row r="246" ht="15.75" customHeight="1">
      <c r="V246" s="14"/>
    </row>
    <row r="247" ht="15.75" customHeight="1">
      <c r="V247" s="14"/>
    </row>
    <row r="248" ht="15.75" customHeight="1">
      <c r="V248" s="14"/>
    </row>
    <row r="249" ht="15.75" customHeight="1">
      <c r="V249" s="14"/>
    </row>
    <row r="250" ht="15.75" customHeight="1">
      <c r="V250" s="14"/>
    </row>
    <row r="251" ht="15.75" customHeight="1">
      <c r="V251" s="14"/>
    </row>
    <row r="252" ht="15.75" customHeight="1">
      <c r="V252" s="14"/>
    </row>
    <row r="253" ht="15.75" customHeight="1">
      <c r="V253" s="14"/>
    </row>
    <row r="254" ht="15.75" customHeight="1">
      <c r="V254" s="14"/>
    </row>
    <row r="255" ht="15.75" customHeight="1">
      <c r="V255" s="14"/>
    </row>
    <row r="256" ht="15.75" customHeight="1">
      <c r="V256" s="14"/>
    </row>
    <row r="257" ht="15.75" customHeight="1">
      <c r="V257" s="14"/>
    </row>
    <row r="258" ht="15.75" customHeight="1">
      <c r="V258" s="14"/>
    </row>
    <row r="259" ht="15.75" customHeight="1">
      <c r="V259" s="14"/>
    </row>
    <row r="260" ht="15.75" customHeight="1">
      <c r="V260" s="14"/>
    </row>
    <row r="261" ht="15.75" customHeight="1">
      <c r="V261" s="14"/>
    </row>
    <row r="262" ht="15.75" customHeight="1">
      <c r="V262" s="14"/>
    </row>
    <row r="263" ht="15.75" customHeight="1">
      <c r="V263" s="14"/>
    </row>
    <row r="264" ht="15.75" customHeight="1">
      <c r="V264" s="14"/>
    </row>
    <row r="265" ht="15.75" customHeight="1">
      <c r="V265" s="14"/>
    </row>
    <row r="266" ht="15.75" customHeight="1">
      <c r="V266" s="14"/>
    </row>
    <row r="267" ht="15.75" customHeight="1">
      <c r="V267" s="14"/>
    </row>
    <row r="268" ht="15.75" customHeight="1">
      <c r="V268" s="14"/>
    </row>
    <row r="269" ht="15.75" customHeight="1">
      <c r="V269" s="14"/>
    </row>
    <row r="270" ht="15.75" customHeight="1">
      <c r="V270" s="14"/>
    </row>
    <row r="271" ht="15.75" customHeight="1">
      <c r="V271" s="14"/>
    </row>
    <row r="272" ht="15.75" customHeight="1">
      <c r="V272" s="14"/>
    </row>
    <row r="273" ht="15.75" customHeight="1">
      <c r="V273" s="14"/>
    </row>
    <row r="274" ht="15.75" customHeight="1">
      <c r="V274" s="14"/>
    </row>
    <row r="275" ht="15.75" customHeight="1">
      <c r="V275" s="14"/>
    </row>
    <row r="276" ht="15.75" customHeight="1">
      <c r="V276" s="14"/>
    </row>
    <row r="277" ht="15.75" customHeight="1">
      <c r="V277" s="14"/>
    </row>
    <row r="278" ht="15.75" customHeight="1">
      <c r="V278" s="14"/>
    </row>
    <row r="279" ht="15.75" customHeight="1">
      <c r="V279" s="14"/>
    </row>
    <row r="280" ht="15.75" customHeight="1">
      <c r="V280" s="14"/>
    </row>
    <row r="281" ht="15.75" customHeight="1">
      <c r="V281" s="14"/>
    </row>
    <row r="282" ht="15.75" customHeight="1">
      <c r="V282" s="14"/>
    </row>
    <row r="283" ht="15.75" customHeight="1">
      <c r="V283" s="14"/>
    </row>
    <row r="284" ht="15.75" customHeight="1">
      <c r="V284" s="14"/>
    </row>
    <row r="285" ht="15.75" customHeight="1">
      <c r="V285" s="14"/>
    </row>
    <row r="286" ht="15.75" customHeight="1">
      <c r="V286" s="14"/>
    </row>
    <row r="287" ht="15.75" customHeight="1">
      <c r="V287" s="14"/>
    </row>
    <row r="288" ht="15.75" customHeight="1">
      <c r="V288" s="14"/>
    </row>
    <row r="289" ht="15.75" customHeight="1">
      <c r="V289" s="14"/>
    </row>
    <row r="290" ht="15.75" customHeight="1">
      <c r="V290" s="14"/>
    </row>
    <row r="291" ht="15.75" customHeight="1">
      <c r="V291" s="14"/>
    </row>
    <row r="292" ht="15.75" customHeight="1">
      <c r="V292" s="14"/>
    </row>
    <row r="293" ht="15.75" customHeight="1">
      <c r="V293" s="14"/>
    </row>
    <row r="294" ht="15.75" customHeight="1">
      <c r="V294" s="14"/>
    </row>
    <row r="295" ht="15.75" customHeight="1">
      <c r="V295" s="14"/>
    </row>
    <row r="296" ht="15.75" customHeight="1">
      <c r="V296" s="14"/>
    </row>
    <row r="297" ht="15.75" customHeight="1">
      <c r="V297" s="14"/>
    </row>
    <row r="298" ht="15.75" customHeight="1">
      <c r="V298" s="14"/>
    </row>
    <row r="299" ht="15.75" customHeight="1">
      <c r="V299" s="14"/>
    </row>
    <row r="300" ht="15.75" customHeight="1">
      <c r="V300" s="14"/>
    </row>
    <row r="301" ht="15.75" customHeight="1">
      <c r="V301" s="14"/>
    </row>
    <row r="302" ht="15.75" customHeight="1">
      <c r="V302" s="14"/>
    </row>
    <row r="303" ht="15.75" customHeight="1">
      <c r="V303" s="14"/>
    </row>
    <row r="304" ht="15.75" customHeight="1">
      <c r="V304" s="14"/>
    </row>
    <row r="305" ht="15.75" customHeight="1">
      <c r="V305" s="14"/>
    </row>
    <row r="306" ht="15.75" customHeight="1">
      <c r="V306" s="14"/>
    </row>
    <row r="307" ht="15.75" customHeight="1">
      <c r="V307" s="14"/>
    </row>
    <row r="308" ht="15.75" customHeight="1">
      <c r="V308" s="14"/>
    </row>
    <row r="309" ht="15.75" customHeight="1">
      <c r="V309" s="14"/>
    </row>
    <row r="310" ht="15.75" customHeight="1">
      <c r="V310" s="14"/>
    </row>
    <row r="311" ht="15.75" customHeight="1">
      <c r="V311" s="14"/>
    </row>
    <row r="312" ht="15.75" customHeight="1">
      <c r="V312" s="14"/>
    </row>
    <row r="313" ht="15.75" customHeight="1">
      <c r="V313" s="14"/>
    </row>
    <row r="314" ht="15.75" customHeight="1">
      <c r="V314" s="14"/>
    </row>
    <row r="315" ht="15.75" customHeight="1">
      <c r="V315" s="14"/>
    </row>
    <row r="316" ht="15.75" customHeight="1">
      <c r="V316" s="14"/>
    </row>
    <row r="317" ht="15.75" customHeight="1">
      <c r="V317" s="14"/>
    </row>
    <row r="318" ht="15.75" customHeight="1">
      <c r="V318" s="14"/>
    </row>
    <row r="319" ht="15.75" customHeight="1">
      <c r="V319" s="14"/>
    </row>
    <row r="320" ht="15.75" customHeight="1">
      <c r="V320" s="14"/>
    </row>
    <row r="321" ht="15.75" customHeight="1">
      <c r="V321" s="14"/>
    </row>
    <row r="322" ht="15.75" customHeight="1">
      <c r="V322" s="14"/>
    </row>
    <row r="323" ht="15.75" customHeight="1">
      <c r="V323" s="14"/>
    </row>
    <row r="324" ht="15.75" customHeight="1">
      <c r="V324" s="14"/>
    </row>
    <row r="325" ht="15.75" customHeight="1">
      <c r="V325" s="14"/>
    </row>
    <row r="326" ht="15.75" customHeight="1">
      <c r="V326" s="14"/>
    </row>
    <row r="327" ht="15.75" customHeight="1">
      <c r="V327" s="14"/>
    </row>
    <row r="328" ht="15.75" customHeight="1">
      <c r="V328" s="14"/>
    </row>
    <row r="329" ht="15.75" customHeight="1">
      <c r="V329" s="14"/>
    </row>
    <row r="330" ht="15.75" customHeight="1">
      <c r="V330" s="14"/>
    </row>
    <row r="331" ht="15.75" customHeight="1">
      <c r="V331" s="14"/>
    </row>
    <row r="332" ht="15.75" customHeight="1">
      <c r="V332" s="14"/>
    </row>
    <row r="333" ht="15.75" customHeight="1">
      <c r="V333" s="14"/>
    </row>
    <row r="334" ht="15.75" customHeight="1">
      <c r="V334" s="14"/>
    </row>
    <row r="335" ht="15.75" customHeight="1">
      <c r="V335" s="14"/>
    </row>
    <row r="336" ht="15.75" customHeight="1">
      <c r="V336" s="14"/>
    </row>
    <row r="337" ht="15.75" customHeight="1">
      <c r="V337" s="14"/>
    </row>
    <row r="338" ht="15.75" customHeight="1">
      <c r="V338" s="14"/>
    </row>
    <row r="339" ht="15.75" customHeight="1">
      <c r="V339" s="14"/>
    </row>
    <row r="340" ht="15.75" customHeight="1">
      <c r="V340" s="14"/>
    </row>
    <row r="341" ht="15.75" customHeight="1">
      <c r="V341" s="14"/>
    </row>
    <row r="342" ht="15.75" customHeight="1">
      <c r="V342" s="14"/>
    </row>
    <row r="343" ht="15.75" customHeight="1">
      <c r="V343" s="14"/>
    </row>
    <row r="344" ht="15.75" customHeight="1">
      <c r="V344" s="14"/>
    </row>
    <row r="345" ht="15.75" customHeight="1">
      <c r="V345" s="14"/>
    </row>
    <row r="346" ht="15.75" customHeight="1">
      <c r="V346" s="14"/>
    </row>
    <row r="347" ht="15.75" customHeight="1">
      <c r="V347" s="14"/>
    </row>
    <row r="348" ht="15.75" customHeight="1">
      <c r="V348" s="14"/>
    </row>
    <row r="349" ht="15.75" customHeight="1">
      <c r="V349" s="14"/>
    </row>
    <row r="350" ht="15.75" customHeight="1">
      <c r="V350" s="14"/>
    </row>
    <row r="351" ht="15.75" customHeight="1">
      <c r="V351" s="14"/>
    </row>
    <row r="352" ht="15.75" customHeight="1">
      <c r="V352" s="14"/>
    </row>
    <row r="353" ht="15.75" customHeight="1">
      <c r="V353" s="14"/>
    </row>
    <row r="354" ht="15.75" customHeight="1">
      <c r="V354" s="14"/>
    </row>
    <row r="355" ht="15.75" customHeight="1">
      <c r="V355" s="14"/>
    </row>
    <row r="356" ht="15.75" customHeight="1">
      <c r="V356" s="14"/>
    </row>
    <row r="357" ht="15.75" customHeight="1">
      <c r="V357" s="14"/>
    </row>
    <row r="358" ht="15.75" customHeight="1">
      <c r="V358" s="14"/>
    </row>
    <row r="359" ht="15.75" customHeight="1">
      <c r="V359" s="14"/>
    </row>
    <row r="360" ht="15.75" customHeight="1">
      <c r="V360" s="14"/>
    </row>
    <row r="361" ht="15.75" customHeight="1">
      <c r="V361" s="14"/>
    </row>
    <row r="362" ht="15.75" customHeight="1">
      <c r="V362" s="14"/>
    </row>
    <row r="363" ht="15.75" customHeight="1">
      <c r="V363" s="14"/>
    </row>
    <row r="364" ht="15.75" customHeight="1">
      <c r="V364" s="14"/>
    </row>
    <row r="365" ht="15.75" customHeight="1">
      <c r="V365" s="14"/>
    </row>
    <row r="366" ht="15.75" customHeight="1">
      <c r="V366" s="14"/>
    </row>
    <row r="367" ht="15.75" customHeight="1">
      <c r="V367" s="14"/>
    </row>
    <row r="368" ht="15.75" customHeight="1">
      <c r="V368" s="14"/>
    </row>
    <row r="369" ht="15.75" customHeight="1">
      <c r="V369" s="14"/>
    </row>
    <row r="370" ht="15.75" customHeight="1">
      <c r="V370" s="14"/>
    </row>
    <row r="371" ht="15.75" customHeight="1">
      <c r="V371" s="14"/>
    </row>
    <row r="372" ht="15.75" customHeight="1">
      <c r="V372" s="14"/>
    </row>
    <row r="373" ht="15.75" customHeight="1">
      <c r="V373" s="14"/>
    </row>
    <row r="374" ht="15.75" customHeight="1">
      <c r="V374" s="14"/>
    </row>
    <row r="375" ht="15.75" customHeight="1">
      <c r="V375" s="14"/>
    </row>
    <row r="376" ht="15.75" customHeight="1">
      <c r="V376" s="14"/>
    </row>
    <row r="377" ht="15.75" customHeight="1">
      <c r="V377" s="14"/>
    </row>
    <row r="378" ht="15.75" customHeight="1">
      <c r="V378" s="14"/>
    </row>
    <row r="379" ht="15.75" customHeight="1">
      <c r="V379" s="14"/>
    </row>
    <row r="380" ht="15.75" customHeight="1">
      <c r="V380" s="14"/>
    </row>
    <row r="381" ht="15.75" customHeight="1">
      <c r="V381" s="14"/>
    </row>
    <row r="382" ht="15.75" customHeight="1">
      <c r="V382" s="14"/>
    </row>
    <row r="383" ht="15.75" customHeight="1">
      <c r="V383" s="14"/>
    </row>
    <row r="384" ht="15.75" customHeight="1">
      <c r="V384" s="14"/>
    </row>
    <row r="385" ht="15.75" customHeight="1">
      <c r="V385" s="14"/>
    </row>
    <row r="386" ht="15.75" customHeight="1">
      <c r="V386" s="14"/>
    </row>
    <row r="387" ht="15.75" customHeight="1">
      <c r="V387" s="14"/>
    </row>
    <row r="388" ht="15.75" customHeight="1">
      <c r="V388" s="14"/>
    </row>
    <row r="389" ht="15.75" customHeight="1">
      <c r="V389" s="14"/>
    </row>
    <row r="390" ht="15.75" customHeight="1">
      <c r="V390" s="14"/>
    </row>
    <row r="391" ht="15.75" customHeight="1">
      <c r="V391" s="14"/>
    </row>
    <row r="392" ht="15.75" customHeight="1">
      <c r="V392" s="14"/>
    </row>
    <row r="393" ht="15.75" customHeight="1">
      <c r="V393" s="14"/>
    </row>
    <row r="394" ht="15.75" customHeight="1">
      <c r="V394" s="14"/>
    </row>
    <row r="395" ht="15.75" customHeight="1">
      <c r="V395" s="14"/>
    </row>
    <row r="396" ht="15.75" customHeight="1">
      <c r="V396" s="14"/>
    </row>
    <row r="397" ht="15.75" customHeight="1">
      <c r="V397" s="14"/>
    </row>
    <row r="398" ht="15.75" customHeight="1">
      <c r="V398" s="14"/>
    </row>
    <row r="399" ht="15.75" customHeight="1">
      <c r="V399" s="14"/>
    </row>
    <row r="400" ht="15.75" customHeight="1">
      <c r="V400" s="14"/>
    </row>
    <row r="401" ht="15.75" customHeight="1">
      <c r="V401" s="14"/>
    </row>
    <row r="402" ht="15.75" customHeight="1">
      <c r="V402" s="14"/>
    </row>
    <row r="403" ht="15.75" customHeight="1">
      <c r="V403" s="14"/>
    </row>
    <row r="404" ht="15.75" customHeight="1">
      <c r="V404" s="14"/>
    </row>
    <row r="405" ht="15.75" customHeight="1">
      <c r="V405" s="14"/>
    </row>
    <row r="406" ht="15.75" customHeight="1">
      <c r="V406" s="14"/>
    </row>
    <row r="407" ht="15.75" customHeight="1">
      <c r="V407" s="14"/>
    </row>
    <row r="408" ht="15.75" customHeight="1">
      <c r="V408" s="14"/>
    </row>
    <row r="409" ht="15.75" customHeight="1">
      <c r="V409" s="14"/>
    </row>
    <row r="410" ht="15.75" customHeight="1">
      <c r="V410" s="14"/>
    </row>
    <row r="411" ht="15.75" customHeight="1">
      <c r="V411" s="14"/>
    </row>
    <row r="412" ht="15.75" customHeight="1">
      <c r="V412" s="14"/>
    </row>
    <row r="413" ht="15.75" customHeight="1">
      <c r="V413" s="14"/>
    </row>
    <row r="414" ht="15.75" customHeight="1">
      <c r="V414" s="14"/>
    </row>
    <row r="415" ht="15.75" customHeight="1">
      <c r="V415" s="14"/>
    </row>
    <row r="416" ht="15.75" customHeight="1">
      <c r="V416" s="14"/>
    </row>
    <row r="417" ht="15.75" customHeight="1">
      <c r="V417" s="14"/>
    </row>
    <row r="418" ht="15.75" customHeight="1">
      <c r="V418" s="14"/>
    </row>
    <row r="419" ht="15.75" customHeight="1">
      <c r="V419" s="14"/>
    </row>
    <row r="420" ht="15.75" customHeight="1">
      <c r="V420" s="14"/>
    </row>
    <row r="421" ht="15.75" customHeight="1">
      <c r="V421" s="14"/>
    </row>
    <row r="422" ht="15.75" customHeight="1">
      <c r="V422" s="14"/>
    </row>
    <row r="423" ht="15.75" customHeight="1">
      <c r="V423" s="14"/>
    </row>
    <row r="424" ht="15.75" customHeight="1">
      <c r="V424" s="14"/>
    </row>
    <row r="425" ht="15.75" customHeight="1">
      <c r="V425" s="14"/>
    </row>
    <row r="426" ht="15.75" customHeight="1">
      <c r="V426" s="14"/>
    </row>
    <row r="427" ht="15.75" customHeight="1">
      <c r="V427" s="14"/>
    </row>
    <row r="428" ht="15.75" customHeight="1">
      <c r="V428" s="14"/>
    </row>
    <row r="429" ht="15.75" customHeight="1">
      <c r="V429" s="14"/>
    </row>
    <row r="430" ht="15.75" customHeight="1">
      <c r="V430" s="14"/>
    </row>
    <row r="431" ht="15.75" customHeight="1">
      <c r="V431" s="14"/>
    </row>
    <row r="432" ht="15.75" customHeight="1">
      <c r="V432" s="14"/>
    </row>
    <row r="433" ht="15.75" customHeight="1">
      <c r="V433" s="14"/>
    </row>
    <row r="434" ht="15.75" customHeight="1">
      <c r="V434" s="14"/>
    </row>
    <row r="435" ht="15.75" customHeight="1">
      <c r="V435" s="14"/>
    </row>
    <row r="436" ht="15.75" customHeight="1">
      <c r="V436" s="14"/>
    </row>
    <row r="437" ht="15.75" customHeight="1">
      <c r="V437" s="14"/>
    </row>
    <row r="438" ht="15.75" customHeight="1">
      <c r="V438" s="14"/>
    </row>
    <row r="439" ht="15.75" customHeight="1">
      <c r="V439" s="14"/>
    </row>
    <row r="440" ht="15.75" customHeight="1">
      <c r="V440" s="14"/>
    </row>
    <row r="441" ht="15.75" customHeight="1">
      <c r="V441" s="14"/>
    </row>
    <row r="442" ht="15.75" customHeight="1">
      <c r="V442" s="14"/>
    </row>
    <row r="443" ht="15.75" customHeight="1">
      <c r="V443" s="14"/>
    </row>
    <row r="444" ht="15.75" customHeight="1">
      <c r="V444" s="14"/>
    </row>
    <row r="445" ht="15.75" customHeight="1">
      <c r="V445" s="14"/>
    </row>
    <row r="446" ht="15.75" customHeight="1">
      <c r="V446" s="14"/>
    </row>
    <row r="447" ht="15.75" customHeight="1">
      <c r="V447" s="14"/>
    </row>
    <row r="448" ht="15.75" customHeight="1">
      <c r="V448" s="14"/>
    </row>
    <row r="449" ht="15.75" customHeight="1">
      <c r="V449" s="14"/>
    </row>
    <row r="450" ht="15.75" customHeight="1">
      <c r="V450" s="14"/>
    </row>
    <row r="451" ht="15.75" customHeight="1">
      <c r="V451" s="14"/>
    </row>
    <row r="452" ht="15.75" customHeight="1">
      <c r="V452" s="14"/>
    </row>
    <row r="453" ht="15.75" customHeight="1">
      <c r="V453" s="14"/>
    </row>
    <row r="454" ht="15.75" customHeight="1">
      <c r="V454" s="14"/>
    </row>
    <row r="455" ht="15.75" customHeight="1">
      <c r="V455" s="14"/>
    </row>
    <row r="456" ht="15.75" customHeight="1">
      <c r="V456" s="14"/>
    </row>
    <row r="457" ht="15.75" customHeight="1">
      <c r="V457" s="14"/>
    </row>
    <row r="458" ht="15.75" customHeight="1">
      <c r="V458" s="14"/>
    </row>
    <row r="459" ht="15.75" customHeight="1">
      <c r="V459" s="14"/>
    </row>
    <row r="460" ht="15.75" customHeight="1">
      <c r="V460" s="14"/>
    </row>
    <row r="461" ht="15.75" customHeight="1">
      <c r="V461" s="14"/>
    </row>
    <row r="462" ht="15.75" customHeight="1">
      <c r="V462" s="14"/>
    </row>
    <row r="463" ht="15.75" customHeight="1">
      <c r="V463" s="14"/>
    </row>
    <row r="464" ht="15.75" customHeight="1">
      <c r="V464" s="14"/>
    </row>
    <row r="465" ht="15.75" customHeight="1">
      <c r="V465" s="14"/>
    </row>
    <row r="466" ht="15.75" customHeight="1">
      <c r="V466" s="14"/>
    </row>
    <row r="467" ht="15.75" customHeight="1">
      <c r="V467" s="14"/>
    </row>
    <row r="468" ht="15.75" customHeight="1">
      <c r="V468" s="14"/>
    </row>
    <row r="469" ht="15.75" customHeight="1">
      <c r="V469" s="14"/>
    </row>
    <row r="470" ht="15.75" customHeight="1">
      <c r="V470" s="14"/>
    </row>
    <row r="471" ht="15.75" customHeight="1">
      <c r="V471" s="14"/>
    </row>
    <row r="472" ht="15.75" customHeight="1">
      <c r="V472" s="14"/>
    </row>
    <row r="473" ht="15.75" customHeight="1">
      <c r="V473" s="14"/>
    </row>
    <row r="474" ht="15.75" customHeight="1">
      <c r="V474" s="14"/>
    </row>
    <row r="475" ht="15.75" customHeight="1">
      <c r="V475" s="14"/>
    </row>
    <row r="476" ht="15.75" customHeight="1">
      <c r="V476" s="14"/>
    </row>
    <row r="477" ht="15.75" customHeight="1">
      <c r="V477" s="14"/>
    </row>
    <row r="478" ht="15.75" customHeight="1">
      <c r="V478" s="14"/>
    </row>
    <row r="479" ht="15.75" customHeight="1">
      <c r="V479" s="14"/>
    </row>
    <row r="480" ht="15.75" customHeight="1">
      <c r="V480" s="14"/>
    </row>
    <row r="481" ht="15.75" customHeight="1">
      <c r="V481" s="14"/>
    </row>
    <row r="482" ht="15.75" customHeight="1">
      <c r="V482" s="14"/>
    </row>
    <row r="483" ht="15.75" customHeight="1">
      <c r="V483" s="14"/>
    </row>
    <row r="484" ht="15.75" customHeight="1">
      <c r="V484" s="14"/>
    </row>
    <row r="485" ht="15.75" customHeight="1">
      <c r="V485" s="14"/>
    </row>
    <row r="486" ht="15.75" customHeight="1">
      <c r="V486" s="14"/>
    </row>
    <row r="487" ht="15.75" customHeight="1">
      <c r="V487" s="14"/>
    </row>
    <row r="488" ht="15.75" customHeight="1">
      <c r="V488" s="14"/>
    </row>
    <row r="489" ht="15.75" customHeight="1">
      <c r="V489" s="14"/>
    </row>
    <row r="490" ht="15.75" customHeight="1">
      <c r="V490" s="14"/>
    </row>
    <row r="491" ht="15.75" customHeight="1">
      <c r="V491" s="14"/>
    </row>
    <row r="492" ht="15.75" customHeight="1">
      <c r="V492" s="14"/>
    </row>
    <row r="493" ht="15.75" customHeight="1">
      <c r="V493" s="14"/>
    </row>
    <row r="494" ht="15.75" customHeight="1">
      <c r="V494" s="14"/>
    </row>
    <row r="495" ht="15.75" customHeight="1">
      <c r="V495" s="14"/>
    </row>
    <row r="496" ht="15.75" customHeight="1">
      <c r="V496" s="14"/>
    </row>
    <row r="497" ht="15.75" customHeight="1">
      <c r="V497" s="14"/>
    </row>
    <row r="498" ht="15.75" customHeight="1">
      <c r="V498" s="14"/>
    </row>
    <row r="499" ht="15.75" customHeight="1">
      <c r="V499" s="14"/>
    </row>
    <row r="500" ht="15.75" customHeight="1">
      <c r="V500" s="14"/>
    </row>
    <row r="501" ht="15.75" customHeight="1">
      <c r="V501" s="14"/>
    </row>
    <row r="502" ht="15.75" customHeight="1">
      <c r="V502" s="14"/>
    </row>
    <row r="503" ht="15.75" customHeight="1">
      <c r="V503" s="14"/>
    </row>
    <row r="504" ht="15.75" customHeight="1">
      <c r="V504" s="14"/>
    </row>
    <row r="505" ht="15.75" customHeight="1">
      <c r="V505" s="14"/>
    </row>
    <row r="506" ht="15.75" customHeight="1">
      <c r="V506" s="14"/>
    </row>
    <row r="507" ht="15.75" customHeight="1">
      <c r="V507" s="14"/>
    </row>
    <row r="508" ht="15.75" customHeight="1">
      <c r="V508" s="14"/>
    </row>
    <row r="509" ht="15.75" customHeight="1">
      <c r="V509" s="14"/>
    </row>
    <row r="510" ht="15.75" customHeight="1">
      <c r="V510" s="14"/>
    </row>
    <row r="511" ht="15.75" customHeight="1">
      <c r="V511" s="14"/>
    </row>
    <row r="512" ht="15.75" customHeight="1">
      <c r="V512" s="14"/>
    </row>
    <row r="513" ht="15.75" customHeight="1">
      <c r="V513" s="14"/>
    </row>
    <row r="514" ht="15.75" customHeight="1">
      <c r="V514" s="14"/>
    </row>
    <row r="515" ht="15.75" customHeight="1">
      <c r="V515" s="14"/>
    </row>
    <row r="516" ht="15.75" customHeight="1">
      <c r="V516" s="14"/>
    </row>
    <row r="517" ht="15.75" customHeight="1">
      <c r="V517" s="14"/>
    </row>
    <row r="518" ht="15.75" customHeight="1">
      <c r="V518" s="14"/>
    </row>
    <row r="519" ht="15.75" customHeight="1">
      <c r="V519" s="14"/>
    </row>
    <row r="520" ht="15.75" customHeight="1">
      <c r="V520" s="14"/>
    </row>
    <row r="521" ht="15.75" customHeight="1">
      <c r="V521" s="14"/>
    </row>
    <row r="522" ht="15.75" customHeight="1">
      <c r="V522" s="14"/>
    </row>
    <row r="523" ht="15.75" customHeight="1">
      <c r="V523" s="14"/>
    </row>
    <row r="524" ht="15.75" customHeight="1">
      <c r="V524" s="14"/>
    </row>
    <row r="525" ht="15.75" customHeight="1">
      <c r="V525" s="14"/>
    </row>
    <row r="526" ht="15.75" customHeight="1">
      <c r="V526" s="14"/>
    </row>
    <row r="527" ht="15.75" customHeight="1">
      <c r="V527" s="14"/>
    </row>
    <row r="528" ht="15.75" customHeight="1">
      <c r="V528" s="14"/>
    </row>
    <row r="529" ht="15.75" customHeight="1">
      <c r="V529" s="14"/>
    </row>
    <row r="530" ht="15.75" customHeight="1">
      <c r="V530" s="14"/>
    </row>
    <row r="531" ht="15.75" customHeight="1">
      <c r="V531" s="14"/>
    </row>
    <row r="532" ht="15.75" customHeight="1">
      <c r="V532" s="14"/>
    </row>
    <row r="533" ht="15.75" customHeight="1">
      <c r="V533" s="14"/>
    </row>
    <row r="534" ht="15.75" customHeight="1">
      <c r="V534" s="14"/>
    </row>
    <row r="535" ht="15.75" customHeight="1">
      <c r="V535" s="14"/>
    </row>
    <row r="536" ht="15.75" customHeight="1">
      <c r="V536" s="14"/>
    </row>
    <row r="537" ht="15.75" customHeight="1">
      <c r="V537" s="14"/>
    </row>
    <row r="538" ht="15.75" customHeight="1">
      <c r="V538" s="14"/>
    </row>
    <row r="539" ht="15.75" customHeight="1">
      <c r="V539" s="14"/>
    </row>
    <row r="540" ht="15.75" customHeight="1">
      <c r="V540" s="14"/>
    </row>
    <row r="541" ht="15.75" customHeight="1">
      <c r="V541" s="14"/>
    </row>
    <row r="542" ht="15.75" customHeight="1">
      <c r="V542" s="14"/>
    </row>
    <row r="543" ht="15.75" customHeight="1">
      <c r="V543" s="14"/>
    </row>
    <row r="544" ht="15.75" customHeight="1">
      <c r="V544" s="14"/>
    </row>
    <row r="545" ht="15.75" customHeight="1">
      <c r="V545" s="14"/>
    </row>
    <row r="546" ht="15.75" customHeight="1">
      <c r="V546" s="14"/>
    </row>
    <row r="547" ht="15.75" customHeight="1">
      <c r="V547" s="14"/>
    </row>
    <row r="548" ht="15.75" customHeight="1">
      <c r="V548" s="14"/>
    </row>
    <row r="549" ht="15.75" customHeight="1">
      <c r="V549" s="14"/>
    </row>
    <row r="550" ht="15.75" customHeight="1">
      <c r="V550" s="14"/>
    </row>
    <row r="551" ht="15.75" customHeight="1">
      <c r="V551" s="14"/>
    </row>
    <row r="552" ht="15.75" customHeight="1">
      <c r="V552" s="14"/>
    </row>
    <row r="553" ht="15.75" customHeight="1">
      <c r="V553" s="14"/>
    </row>
    <row r="554" ht="15.75" customHeight="1">
      <c r="V554" s="14"/>
    </row>
    <row r="555" ht="15.75" customHeight="1">
      <c r="V555" s="14"/>
    </row>
    <row r="556" ht="15.75" customHeight="1">
      <c r="V556" s="14"/>
    </row>
    <row r="557" ht="15.75" customHeight="1">
      <c r="V557" s="14"/>
    </row>
    <row r="558" ht="15.75" customHeight="1">
      <c r="V558" s="14"/>
    </row>
    <row r="559" ht="15.75" customHeight="1">
      <c r="V559" s="14"/>
    </row>
    <row r="560" ht="15.75" customHeight="1">
      <c r="V560" s="14"/>
    </row>
    <row r="561" ht="15.75" customHeight="1">
      <c r="V561" s="14"/>
    </row>
    <row r="562" ht="15.75" customHeight="1">
      <c r="V562" s="14"/>
    </row>
    <row r="563" ht="15.75" customHeight="1">
      <c r="V563" s="14"/>
    </row>
    <row r="564" ht="15.75" customHeight="1">
      <c r="V564" s="14"/>
    </row>
    <row r="565" ht="15.75" customHeight="1">
      <c r="V565" s="14"/>
    </row>
    <row r="566" ht="15.75" customHeight="1">
      <c r="V566" s="14"/>
    </row>
    <row r="567" ht="15.75" customHeight="1">
      <c r="V567" s="14"/>
    </row>
    <row r="568" ht="15.75" customHeight="1">
      <c r="V568" s="14"/>
    </row>
    <row r="569" ht="15.75" customHeight="1">
      <c r="V569" s="14"/>
    </row>
    <row r="570" ht="15.75" customHeight="1">
      <c r="V570" s="14"/>
    </row>
    <row r="571" ht="15.75" customHeight="1">
      <c r="V571" s="14"/>
    </row>
    <row r="572" ht="15.75" customHeight="1">
      <c r="V572" s="14"/>
    </row>
    <row r="573" ht="15.75" customHeight="1">
      <c r="V573" s="14"/>
    </row>
    <row r="574" ht="15.75" customHeight="1">
      <c r="V574" s="14"/>
    </row>
    <row r="575" ht="15.75" customHeight="1">
      <c r="V575" s="14"/>
    </row>
    <row r="576" ht="15.75" customHeight="1">
      <c r="V576" s="14"/>
    </row>
    <row r="577" ht="15.75" customHeight="1">
      <c r="V577" s="14"/>
    </row>
    <row r="578" ht="15.75" customHeight="1">
      <c r="V578" s="14"/>
    </row>
    <row r="579" ht="15.75" customHeight="1">
      <c r="V579" s="14"/>
    </row>
    <row r="580" ht="15.75" customHeight="1">
      <c r="V580" s="14"/>
    </row>
    <row r="581" ht="15.75" customHeight="1">
      <c r="V581" s="14"/>
    </row>
    <row r="582" ht="15.75" customHeight="1">
      <c r="V582" s="14"/>
    </row>
    <row r="583" ht="15.75" customHeight="1">
      <c r="V583" s="14"/>
    </row>
    <row r="584" ht="15.75" customHeight="1">
      <c r="V584" s="14"/>
    </row>
    <row r="585" ht="15.75" customHeight="1">
      <c r="V585" s="14"/>
    </row>
    <row r="586" ht="15.75" customHeight="1">
      <c r="V586" s="14"/>
    </row>
    <row r="587" ht="15.75" customHeight="1">
      <c r="V587" s="14"/>
    </row>
    <row r="588" ht="15.75" customHeight="1">
      <c r="V588" s="14"/>
    </row>
    <row r="589" ht="15.75" customHeight="1">
      <c r="V589" s="14"/>
    </row>
    <row r="590" ht="15.75" customHeight="1">
      <c r="V590" s="14"/>
    </row>
    <row r="591" ht="15.75" customHeight="1">
      <c r="V591" s="14"/>
    </row>
    <row r="592" ht="15.75" customHeight="1">
      <c r="V592" s="14"/>
    </row>
    <row r="593" ht="15.75" customHeight="1">
      <c r="V593" s="14"/>
    </row>
    <row r="594" ht="15.75" customHeight="1">
      <c r="V594" s="14"/>
    </row>
    <row r="595" ht="15.75" customHeight="1">
      <c r="V595" s="14"/>
    </row>
    <row r="596" ht="15.75" customHeight="1">
      <c r="V596" s="14"/>
    </row>
    <row r="597" ht="15.75" customHeight="1">
      <c r="V597" s="14"/>
    </row>
    <row r="598" ht="15.75" customHeight="1">
      <c r="V598" s="14"/>
    </row>
    <row r="599" ht="15.75" customHeight="1">
      <c r="V599" s="14"/>
    </row>
    <row r="600" ht="15.75" customHeight="1">
      <c r="V600" s="14"/>
    </row>
    <row r="601" ht="15.75" customHeight="1">
      <c r="V601" s="14"/>
    </row>
    <row r="602" ht="15.75" customHeight="1">
      <c r="V602" s="14"/>
    </row>
    <row r="603" ht="15.75" customHeight="1">
      <c r="V603" s="14"/>
    </row>
    <row r="604" ht="15.75" customHeight="1">
      <c r="V604" s="14"/>
    </row>
    <row r="605" ht="15.75" customHeight="1">
      <c r="V605" s="14"/>
    </row>
    <row r="606" ht="15.75" customHeight="1">
      <c r="V606" s="14"/>
    </row>
    <row r="607" ht="15.75" customHeight="1">
      <c r="V607" s="14"/>
    </row>
    <row r="608" ht="15.75" customHeight="1">
      <c r="V608" s="14"/>
    </row>
    <row r="609" ht="15.75" customHeight="1">
      <c r="V609" s="14"/>
    </row>
    <row r="610" ht="15.75" customHeight="1">
      <c r="V610" s="14"/>
    </row>
    <row r="611" ht="15.75" customHeight="1">
      <c r="V611" s="14"/>
    </row>
    <row r="612" ht="15.75" customHeight="1">
      <c r="V612" s="14"/>
    </row>
    <row r="613" ht="15.75" customHeight="1">
      <c r="V613" s="14"/>
    </row>
    <row r="614" ht="15.75" customHeight="1">
      <c r="V614" s="14"/>
    </row>
    <row r="615" ht="15.75" customHeight="1">
      <c r="V615" s="14"/>
    </row>
    <row r="616" ht="15.75" customHeight="1">
      <c r="V616" s="14"/>
    </row>
    <row r="617" ht="15.75" customHeight="1">
      <c r="V617" s="14"/>
    </row>
    <row r="618" ht="15.75" customHeight="1">
      <c r="V618" s="14"/>
    </row>
    <row r="619" ht="15.75" customHeight="1">
      <c r="V619" s="14"/>
    </row>
    <row r="620" ht="15.75" customHeight="1">
      <c r="V620" s="14"/>
    </row>
    <row r="621" ht="15.75" customHeight="1">
      <c r="V621" s="14"/>
    </row>
    <row r="622" ht="15.75" customHeight="1">
      <c r="V622" s="14"/>
    </row>
    <row r="623" ht="15.75" customHeight="1">
      <c r="V623" s="14"/>
    </row>
    <row r="624" ht="15.75" customHeight="1">
      <c r="V624" s="14"/>
    </row>
    <row r="625" ht="15.75" customHeight="1">
      <c r="V625" s="14"/>
    </row>
    <row r="626" ht="15.75" customHeight="1">
      <c r="V626" s="14"/>
    </row>
    <row r="627" ht="15.75" customHeight="1">
      <c r="V627" s="14"/>
    </row>
    <row r="628" ht="15.75" customHeight="1">
      <c r="V628" s="14"/>
    </row>
    <row r="629" ht="15.75" customHeight="1">
      <c r="V629" s="14"/>
    </row>
    <row r="630" ht="15.75" customHeight="1">
      <c r="V630" s="14"/>
    </row>
    <row r="631" ht="15.75" customHeight="1">
      <c r="V631" s="14"/>
    </row>
    <row r="632" ht="15.75" customHeight="1">
      <c r="V632" s="14"/>
    </row>
    <row r="633" ht="15.75" customHeight="1">
      <c r="V633" s="14"/>
    </row>
    <row r="634" ht="15.75" customHeight="1">
      <c r="V634" s="14"/>
    </row>
    <row r="635" ht="15.75" customHeight="1">
      <c r="V635" s="14"/>
    </row>
    <row r="636" ht="15.75" customHeight="1">
      <c r="V636" s="14"/>
    </row>
    <row r="637" ht="15.75" customHeight="1">
      <c r="V637" s="14"/>
    </row>
    <row r="638" ht="15.75" customHeight="1">
      <c r="V638" s="14"/>
    </row>
    <row r="639" ht="15.75" customHeight="1">
      <c r="V639" s="14"/>
    </row>
    <row r="640" ht="15.75" customHeight="1">
      <c r="V640" s="14"/>
    </row>
    <row r="641" ht="15.75" customHeight="1">
      <c r="V641" s="14"/>
    </row>
    <row r="642" ht="15.75" customHeight="1">
      <c r="V642" s="14"/>
    </row>
    <row r="643" ht="15.75" customHeight="1">
      <c r="V643" s="14"/>
    </row>
    <row r="644" ht="15.75" customHeight="1">
      <c r="V644" s="14"/>
    </row>
    <row r="645" ht="15.75" customHeight="1">
      <c r="V645" s="14"/>
    </row>
    <row r="646" ht="15.75" customHeight="1">
      <c r="V646" s="14"/>
    </row>
    <row r="647" ht="15.75" customHeight="1">
      <c r="V647" s="14"/>
    </row>
    <row r="648" ht="15.75" customHeight="1">
      <c r="V648" s="14"/>
    </row>
    <row r="649" ht="15.75" customHeight="1">
      <c r="V649" s="14"/>
    </row>
    <row r="650" ht="15.75" customHeight="1">
      <c r="V650" s="14"/>
    </row>
    <row r="651" ht="15.75" customHeight="1">
      <c r="V651" s="14"/>
    </row>
    <row r="652" ht="15.75" customHeight="1">
      <c r="V652" s="14"/>
    </row>
    <row r="653" ht="15.75" customHeight="1">
      <c r="V653" s="14"/>
    </row>
    <row r="654" ht="15.75" customHeight="1">
      <c r="V654" s="14"/>
    </row>
    <row r="655" ht="15.75" customHeight="1">
      <c r="V655" s="14"/>
    </row>
    <row r="656" ht="15.75" customHeight="1">
      <c r="V656" s="14"/>
    </row>
    <row r="657" ht="15.75" customHeight="1">
      <c r="V657" s="14"/>
    </row>
    <row r="658" ht="15.75" customHeight="1">
      <c r="V658" s="14"/>
    </row>
    <row r="659" ht="15.75" customHeight="1">
      <c r="V659" s="14"/>
    </row>
    <row r="660" ht="15.75" customHeight="1">
      <c r="V660" s="14"/>
    </row>
    <row r="661" ht="15.75" customHeight="1">
      <c r="V661" s="14"/>
    </row>
    <row r="662" ht="15.75" customHeight="1">
      <c r="V662" s="14"/>
    </row>
    <row r="663" ht="15.75" customHeight="1">
      <c r="V663" s="14"/>
    </row>
    <row r="664" ht="15.75" customHeight="1">
      <c r="V664" s="14"/>
    </row>
    <row r="665" ht="15.75" customHeight="1">
      <c r="V665" s="14"/>
    </row>
    <row r="666" ht="15.75" customHeight="1">
      <c r="V666" s="14"/>
    </row>
    <row r="667" ht="15.75" customHeight="1">
      <c r="V667" s="14"/>
    </row>
    <row r="668" ht="15.75" customHeight="1">
      <c r="V668" s="14"/>
    </row>
    <row r="669" ht="15.75" customHeight="1">
      <c r="V669" s="14"/>
    </row>
    <row r="670" ht="15.75" customHeight="1">
      <c r="V670" s="14"/>
    </row>
    <row r="671" ht="15.75" customHeight="1">
      <c r="V671" s="14"/>
    </row>
    <row r="672" ht="15.75" customHeight="1">
      <c r="V672" s="14"/>
    </row>
    <row r="673" ht="15.75" customHeight="1">
      <c r="V673" s="14"/>
    </row>
    <row r="674" ht="15.75" customHeight="1">
      <c r="V674" s="14"/>
    </row>
    <row r="675" ht="15.75" customHeight="1">
      <c r="V675" s="14"/>
    </row>
    <row r="676" ht="15.75" customHeight="1">
      <c r="V676" s="14"/>
    </row>
    <row r="677" ht="15.75" customHeight="1">
      <c r="V677" s="14"/>
    </row>
    <row r="678" ht="15.75" customHeight="1">
      <c r="V678" s="14"/>
    </row>
    <row r="679" ht="15.75" customHeight="1">
      <c r="V679" s="14"/>
    </row>
    <row r="680" ht="15.75" customHeight="1">
      <c r="V680" s="14"/>
    </row>
    <row r="681" ht="15.75" customHeight="1">
      <c r="V681" s="14"/>
    </row>
    <row r="682" ht="15.75" customHeight="1">
      <c r="V682" s="14"/>
    </row>
    <row r="683" ht="15.75" customHeight="1">
      <c r="V683" s="14"/>
    </row>
    <row r="684" ht="15.75" customHeight="1">
      <c r="V684" s="14"/>
    </row>
    <row r="685" ht="15.75" customHeight="1">
      <c r="V685" s="14"/>
    </row>
    <row r="686" ht="15.75" customHeight="1">
      <c r="V686" s="14"/>
    </row>
    <row r="687" ht="15.75" customHeight="1">
      <c r="V687" s="14"/>
    </row>
    <row r="688" ht="15.75" customHeight="1">
      <c r="V688" s="14"/>
    </row>
    <row r="689" ht="15.75" customHeight="1">
      <c r="V689" s="14"/>
    </row>
    <row r="690" ht="15.75" customHeight="1">
      <c r="V690" s="14"/>
    </row>
    <row r="691" ht="15.75" customHeight="1">
      <c r="V691" s="14"/>
    </row>
    <row r="692" ht="15.75" customHeight="1">
      <c r="V692" s="14"/>
    </row>
    <row r="693" ht="15.75" customHeight="1">
      <c r="V693" s="14"/>
    </row>
    <row r="694" ht="15.75" customHeight="1">
      <c r="V694" s="14"/>
    </row>
    <row r="695" ht="15.75" customHeight="1">
      <c r="V695" s="14"/>
    </row>
    <row r="696" ht="15.75" customHeight="1">
      <c r="V696" s="14"/>
    </row>
    <row r="697" ht="15.75" customHeight="1">
      <c r="V697" s="14"/>
    </row>
    <row r="698" ht="15.75" customHeight="1">
      <c r="V698" s="14"/>
    </row>
    <row r="699" ht="15.75" customHeight="1">
      <c r="V699" s="14"/>
    </row>
    <row r="700" ht="15.75" customHeight="1">
      <c r="V700" s="14"/>
    </row>
    <row r="701" ht="15.75" customHeight="1">
      <c r="V701" s="14"/>
    </row>
    <row r="702" ht="15.75" customHeight="1">
      <c r="V702" s="14"/>
    </row>
    <row r="703" ht="15.75" customHeight="1">
      <c r="V703" s="14"/>
    </row>
    <row r="704" ht="15.75" customHeight="1">
      <c r="V704" s="14"/>
    </row>
    <row r="705" ht="15.75" customHeight="1">
      <c r="V705" s="14"/>
    </row>
    <row r="706" ht="15.75" customHeight="1">
      <c r="V706" s="14"/>
    </row>
    <row r="707" ht="15.75" customHeight="1">
      <c r="V707" s="14"/>
    </row>
    <row r="708" ht="15.75" customHeight="1">
      <c r="V708" s="14"/>
    </row>
    <row r="709" ht="15.75" customHeight="1">
      <c r="V709" s="14"/>
    </row>
    <row r="710" ht="15.75" customHeight="1">
      <c r="V710" s="14"/>
    </row>
    <row r="711" ht="15.75" customHeight="1">
      <c r="V711" s="14"/>
    </row>
    <row r="712" ht="15.75" customHeight="1">
      <c r="V712" s="14"/>
    </row>
    <row r="713" ht="15.75" customHeight="1">
      <c r="V713" s="14"/>
    </row>
    <row r="714" ht="15.75" customHeight="1">
      <c r="V714" s="14"/>
    </row>
    <row r="715" ht="15.75" customHeight="1">
      <c r="V715" s="14"/>
    </row>
    <row r="716" ht="15.75" customHeight="1">
      <c r="V716" s="14"/>
    </row>
    <row r="717" ht="15.75" customHeight="1">
      <c r="V717" s="14"/>
    </row>
    <row r="718" ht="15.75" customHeight="1">
      <c r="V718" s="14"/>
    </row>
    <row r="719" ht="15.75" customHeight="1">
      <c r="V719" s="14"/>
    </row>
    <row r="720" ht="15.75" customHeight="1">
      <c r="V720" s="14"/>
    </row>
    <row r="721" ht="15.75" customHeight="1">
      <c r="V721" s="14"/>
    </row>
    <row r="722" ht="15.75" customHeight="1">
      <c r="V722" s="14"/>
    </row>
    <row r="723" ht="15.75" customHeight="1">
      <c r="V723" s="14"/>
    </row>
    <row r="724" ht="15.75" customHeight="1">
      <c r="V724" s="14"/>
    </row>
    <row r="725" ht="15.75" customHeight="1">
      <c r="V725" s="14"/>
    </row>
    <row r="726" ht="15.75" customHeight="1">
      <c r="V726" s="14"/>
    </row>
    <row r="727" ht="15.75" customHeight="1">
      <c r="V727" s="14"/>
    </row>
    <row r="728" ht="15.75" customHeight="1">
      <c r="V728" s="14"/>
    </row>
    <row r="729" ht="15.75" customHeight="1">
      <c r="V729" s="14"/>
    </row>
    <row r="730" ht="15.75" customHeight="1">
      <c r="V730" s="14"/>
    </row>
    <row r="731" ht="15.75" customHeight="1">
      <c r="V731" s="14"/>
    </row>
    <row r="732" ht="15.75" customHeight="1">
      <c r="V732" s="14"/>
    </row>
    <row r="733" ht="15.75" customHeight="1">
      <c r="V733" s="14"/>
    </row>
    <row r="734" ht="15.75" customHeight="1">
      <c r="V734" s="14"/>
    </row>
    <row r="735" ht="15.75" customHeight="1">
      <c r="V735" s="14"/>
    </row>
    <row r="736" ht="15.75" customHeight="1">
      <c r="V736" s="14"/>
    </row>
    <row r="737" ht="15.75" customHeight="1">
      <c r="V737" s="14"/>
    </row>
    <row r="738" ht="15.75" customHeight="1">
      <c r="V738" s="14"/>
    </row>
    <row r="739" ht="15.75" customHeight="1">
      <c r="V739" s="14"/>
    </row>
    <row r="740" ht="15.75" customHeight="1">
      <c r="V740" s="14"/>
    </row>
    <row r="741" ht="15.75" customHeight="1">
      <c r="V741" s="14"/>
    </row>
    <row r="742" ht="15.75" customHeight="1">
      <c r="V742" s="14"/>
    </row>
    <row r="743" ht="15.75" customHeight="1">
      <c r="V743" s="14"/>
    </row>
    <row r="744" ht="15.75" customHeight="1">
      <c r="V744" s="14"/>
    </row>
    <row r="745" ht="15.75" customHeight="1">
      <c r="V745" s="14"/>
    </row>
    <row r="746" ht="15.75" customHeight="1">
      <c r="V746" s="14"/>
    </row>
    <row r="747" ht="15.75" customHeight="1">
      <c r="V747" s="14"/>
    </row>
    <row r="748" ht="15.75" customHeight="1">
      <c r="V748" s="14"/>
    </row>
    <row r="749" ht="15.75" customHeight="1">
      <c r="V749" s="14"/>
    </row>
    <row r="750" ht="15.75" customHeight="1">
      <c r="V750" s="14"/>
    </row>
    <row r="751" ht="15.75" customHeight="1">
      <c r="V751" s="14"/>
    </row>
    <row r="752" ht="15.75" customHeight="1">
      <c r="V752" s="14"/>
    </row>
    <row r="753" ht="15.75" customHeight="1">
      <c r="V753" s="14"/>
    </row>
    <row r="754" ht="15.75" customHeight="1">
      <c r="V754" s="14"/>
    </row>
    <row r="755" ht="15.75" customHeight="1">
      <c r="V755" s="14"/>
    </row>
    <row r="756" ht="15.75" customHeight="1">
      <c r="V756" s="14"/>
    </row>
    <row r="757" ht="15.75" customHeight="1">
      <c r="V757" s="14"/>
    </row>
    <row r="758" ht="15.75" customHeight="1">
      <c r="V758" s="14"/>
    </row>
    <row r="759" ht="15.75" customHeight="1">
      <c r="V759" s="14"/>
    </row>
    <row r="760" ht="15.75" customHeight="1">
      <c r="V760" s="14"/>
    </row>
    <row r="761" ht="15.75" customHeight="1">
      <c r="V761" s="14"/>
    </row>
    <row r="762" ht="15.75" customHeight="1">
      <c r="V762" s="14"/>
    </row>
    <row r="763" ht="15.75" customHeight="1">
      <c r="V763" s="14"/>
    </row>
    <row r="764" ht="15.75" customHeight="1">
      <c r="V764" s="14"/>
    </row>
    <row r="765" ht="15.75" customHeight="1">
      <c r="V765" s="14"/>
    </row>
    <row r="766" ht="15.75" customHeight="1">
      <c r="V766" s="14"/>
    </row>
    <row r="767" ht="15.75" customHeight="1">
      <c r="V767" s="14"/>
    </row>
    <row r="768" ht="15.75" customHeight="1">
      <c r="V768" s="14"/>
    </row>
    <row r="769" ht="15.75" customHeight="1">
      <c r="V769" s="14"/>
    </row>
    <row r="770" ht="15.75" customHeight="1">
      <c r="V770" s="14"/>
    </row>
    <row r="771" ht="15.75" customHeight="1">
      <c r="V771" s="14"/>
    </row>
    <row r="772" ht="15.75" customHeight="1">
      <c r="V772" s="14"/>
    </row>
    <row r="773" ht="15.75" customHeight="1">
      <c r="V773" s="14"/>
    </row>
    <row r="774" ht="15.75" customHeight="1">
      <c r="V774" s="14"/>
    </row>
    <row r="775" ht="15.75" customHeight="1">
      <c r="V775" s="14"/>
    </row>
    <row r="776" ht="15.75" customHeight="1">
      <c r="V776" s="14"/>
    </row>
    <row r="777" ht="15.75" customHeight="1">
      <c r="V777" s="14"/>
    </row>
    <row r="778" ht="15.75" customHeight="1">
      <c r="V778" s="14"/>
    </row>
    <row r="779" ht="15.75" customHeight="1">
      <c r="V779" s="14"/>
    </row>
    <row r="780" ht="15.75" customHeight="1">
      <c r="V780" s="14"/>
    </row>
    <row r="781" ht="15.75" customHeight="1">
      <c r="V781" s="14"/>
    </row>
    <row r="782" ht="15.75" customHeight="1">
      <c r="V782" s="14"/>
    </row>
    <row r="783" ht="15.75" customHeight="1">
      <c r="V783" s="14"/>
    </row>
    <row r="784" ht="15.75" customHeight="1">
      <c r="V784" s="14"/>
    </row>
    <row r="785" ht="15.75" customHeight="1">
      <c r="V785" s="14"/>
    </row>
    <row r="786" ht="15.75" customHeight="1">
      <c r="V786" s="14"/>
    </row>
    <row r="787" ht="15.75" customHeight="1">
      <c r="V787" s="14"/>
    </row>
    <row r="788" ht="15.75" customHeight="1">
      <c r="V788" s="14"/>
    </row>
    <row r="789" ht="15.75" customHeight="1">
      <c r="V789" s="14"/>
    </row>
    <row r="790" ht="15.75" customHeight="1">
      <c r="V790" s="14"/>
    </row>
    <row r="791" ht="15.75" customHeight="1">
      <c r="V791" s="14"/>
    </row>
    <row r="792" ht="15.75" customHeight="1">
      <c r="V792" s="14"/>
    </row>
    <row r="793" ht="15.75" customHeight="1">
      <c r="V793" s="14"/>
    </row>
    <row r="794" ht="15.75" customHeight="1">
      <c r="V794" s="14"/>
    </row>
    <row r="795" ht="15.75" customHeight="1">
      <c r="V795" s="14"/>
    </row>
    <row r="796" ht="15.75" customHeight="1">
      <c r="V796" s="14"/>
    </row>
    <row r="797" ht="15.75" customHeight="1">
      <c r="V797" s="14"/>
    </row>
    <row r="798" ht="15.75" customHeight="1">
      <c r="V798" s="14"/>
    </row>
    <row r="799" ht="15.75" customHeight="1">
      <c r="V799" s="14"/>
    </row>
    <row r="800" ht="15.75" customHeight="1">
      <c r="V800" s="14"/>
    </row>
    <row r="801" ht="15.75" customHeight="1">
      <c r="V801" s="14"/>
    </row>
    <row r="802" ht="15.75" customHeight="1">
      <c r="V802" s="14"/>
    </row>
    <row r="803" ht="15.75" customHeight="1">
      <c r="V803" s="14"/>
    </row>
    <row r="804" ht="15.75" customHeight="1">
      <c r="V804" s="14"/>
    </row>
    <row r="805" ht="15.75" customHeight="1">
      <c r="V805" s="14"/>
    </row>
    <row r="806" ht="15.75" customHeight="1">
      <c r="V806" s="14"/>
    </row>
    <row r="807" ht="15.75" customHeight="1">
      <c r="V807" s="14"/>
    </row>
    <row r="808" ht="15.75" customHeight="1">
      <c r="V808" s="14"/>
    </row>
    <row r="809" ht="15.75" customHeight="1">
      <c r="V809" s="14"/>
    </row>
    <row r="810" ht="15.75" customHeight="1">
      <c r="V810" s="14"/>
    </row>
    <row r="811" ht="15.75" customHeight="1">
      <c r="V811" s="14"/>
    </row>
    <row r="812" ht="15.75" customHeight="1">
      <c r="V812" s="14"/>
    </row>
    <row r="813" ht="15.75" customHeight="1">
      <c r="V813" s="14"/>
    </row>
    <row r="814" ht="15.75" customHeight="1">
      <c r="V814" s="14"/>
    </row>
    <row r="815" ht="15.75" customHeight="1">
      <c r="V815" s="14"/>
    </row>
    <row r="816" ht="15.75" customHeight="1">
      <c r="V816" s="14"/>
    </row>
    <row r="817" ht="15.75" customHeight="1">
      <c r="V817" s="14"/>
    </row>
    <row r="818" ht="15.75" customHeight="1">
      <c r="V818" s="14"/>
    </row>
    <row r="819" ht="15.75" customHeight="1">
      <c r="V819" s="14"/>
    </row>
    <row r="820" ht="15.75" customHeight="1">
      <c r="V820" s="14"/>
    </row>
    <row r="821" ht="15.75" customHeight="1">
      <c r="V821" s="14"/>
    </row>
    <row r="822" ht="15.75" customHeight="1">
      <c r="V822" s="14"/>
    </row>
    <row r="823" ht="15.75" customHeight="1">
      <c r="V823" s="14"/>
    </row>
    <row r="824" ht="15.75" customHeight="1">
      <c r="V824" s="14"/>
    </row>
    <row r="825" ht="15.75" customHeight="1">
      <c r="V825" s="14"/>
    </row>
    <row r="826" ht="15.75" customHeight="1">
      <c r="V826" s="14"/>
    </row>
    <row r="827" ht="15.75" customHeight="1">
      <c r="V827" s="14"/>
    </row>
    <row r="828" ht="15.75" customHeight="1">
      <c r="V828" s="14"/>
    </row>
    <row r="829" ht="15.75" customHeight="1">
      <c r="V829" s="14"/>
    </row>
    <row r="830" ht="15.75" customHeight="1">
      <c r="V830" s="14"/>
    </row>
    <row r="831" ht="15.75" customHeight="1">
      <c r="V831" s="14"/>
    </row>
    <row r="832" ht="15.75" customHeight="1">
      <c r="V832" s="14"/>
    </row>
    <row r="833" ht="15.75" customHeight="1">
      <c r="V833" s="14"/>
    </row>
    <row r="834" ht="15.75" customHeight="1">
      <c r="V834" s="14"/>
    </row>
    <row r="835" ht="15.75" customHeight="1">
      <c r="V835" s="14"/>
    </row>
    <row r="836" ht="15.75" customHeight="1">
      <c r="V836" s="14"/>
    </row>
    <row r="837" ht="15.75" customHeight="1">
      <c r="V837" s="14"/>
    </row>
    <row r="838" ht="15.75" customHeight="1">
      <c r="V838" s="14"/>
    </row>
    <row r="839" ht="15.75" customHeight="1">
      <c r="V839" s="14"/>
    </row>
    <row r="840" ht="15.75" customHeight="1">
      <c r="V840" s="14"/>
    </row>
    <row r="841" ht="15.75" customHeight="1">
      <c r="V841" s="14"/>
    </row>
    <row r="842" ht="15.75" customHeight="1">
      <c r="V842" s="14"/>
    </row>
    <row r="843" ht="15.75" customHeight="1">
      <c r="V843" s="14"/>
    </row>
    <row r="844" ht="15.75" customHeight="1">
      <c r="V844" s="14"/>
    </row>
    <row r="845" ht="15.75" customHeight="1">
      <c r="V845" s="14"/>
    </row>
    <row r="846" ht="15.75" customHeight="1">
      <c r="V846" s="14"/>
    </row>
    <row r="847" ht="15.75" customHeight="1">
      <c r="V847" s="14"/>
    </row>
    <row r="848" ht="15.75" customHeight="1">
      <c r="V848" s="14"/>
    </row>
    <row r="849" ht="15.75" customHeight="1">
      <c r="V849" s="14"/>
    </row>
    <row r="850" ht="15.75" customHeight="1">
      <c r="V850" s="14"/>
    </row>
    <row r="851" ht="15.75" customHeight="1">
      <c r="V851" s="14"/>
    </row>
    <row r="852" ht="15.75" customHeight="1">
      <c r="V852" s="14"/>
    </row>
    <row r="853" ht="15.75" customHeight="1">
      <c r="V853" s="14"/>
    </row>
    <row r="854" ht="15.75" customHeight="1">
      <c r="V854" s="14"/>
    </row>
    <row r="855" ht="15.75" customHeight="1">
      <c r="V855" s="14"/>
    </row>
    <row r="856" ht="15.75" customHeight="1">
      <c r="V856" s="14"/>
    </row>
    <row r="857" ht="15.75" customHeight="1">
      <c r="V857" s="14"/>
    </row>
    <row r="858" ht="15.75" customHeight="1">
      <c r="V858" s="14"/>
    </row>
    <row r="859" ht="15.75" customHeight="1">
      <c r="V859" s="14"/>
    </row>
    <row r="860" ht="15.75" customHeight="1">
      <c r="V860" s="14"/>
    </row>
    <row r="861" ht="15.75" customHeight="1">
      <c r="V861" s="14"/>
    </row>
    <row r="862" ht="15.75" customHeight="1">
      <c r="V862" s="14"/>
    </row>
    <row r="863" ht="15.75" customHeight="1">
      <c r="V863" s="14"/>
    </row>
    <row r="864" ht="15.75" customHeight="1">
      <c r="V864" s="14"/>
    </row>
    <row r="865" ht="15.75" customHeight="1">
      <c r="V865" s="14"/>
    </row>
    <row r="866" ht="15.75" customHeight="1">
      <c r="V866" s="14"/>
    </row>
    <row r="867" ht="15.75" customHeight="1">
      <c r="V867" s="14"/>
    </row>
    <row r="868" ht="15.75" customHeight="1">
      <c r="V868" s="14"/>
    </row>
    <row r="869" ht="15.75" customHeight="1">
      <c r="V869" s="14"/>
    </row>
    <row r="870" ht="15.75" customHeight="1">
      <c r="V870" s="14"/>
    </row>
    <row r="871" ht="15.75" customHeight="1">
      <c r="V871" s="14"/>
    </row>
    <row r="872" ht="15.75" customHeight="1">
      <c r="V872" s="14"/>
    </row>
    <row r="873" ht="15.75" customHeight="1">
      <c r="V873" s="14"/>
    </row>
    <row r="874" ht="15.75" customHeight="1">
      <c r="V874" s="14"/>
    </row>
    <row r="875" ht="15.75" customHeight="1">
      <c r="V875" s="14"/>
    </row>
    <row r="876" ht="15.75" customHeight="1">
      <c r="V876" s="14"/>
    </row>
    <row r="877" ht="15.75" customHeight="1">
      <c r="V877" s="14"/>
    </row>
    <row r="878" ht="15.75" customHeight="1">
      <c r="V878" s="14"/>
    </row>
    <row r="879" ht="15.75" customHeight="1">
      <c r="V879" s="14"/>
    </row>
    <row r="880" ht="15.75" customHeight="1">
      <c r="V880" s="14"/>
    </row>
    <row r="881" ht="15.75" customHeight="1">
      <c r="V881" s="14"/>
    </row>
    <row r="882" ht="15.75" customHeight="1">
      <c r="V882" s="14"/>
    </row>
    <row r="883" ht="15.75" customHeight="1">
      <c r="V883" s="14"/>
    </row>
    <row r="884" ht="15.75" customHeight="1">
      <c r="V884" s="14"/>
    </row>
    <row r="885" ht="15.75" customHeight="1">
      <c r="V885" s="14"/>
    </row>
    <row r="886" ht="15.75" customHeight="1">
      <c r="V886" s="14"/>
    </row>
    <row r="887" ht="15.75" customHeight="1">
      <c r="V887" s="14"/>
    </row>
    <row r="888" ht="15.75" customHeight="1">
      <c r="V888" s="14"/>
    </row>
    <row r="889" ht="15.75" customHeight="1">
      <c r="V889" s="14"/>
    </row>
    <row r="890" ht="15.75" customHeight="1">
      <c r="V890" s="14"/>
    </row>
    <row r="891" ht="15.75" customHeight="1">
      <c r="V891" s="14"/>
    </row>
    <row r="892" ht="15.75" customHeight="1">
      <c r="V892" s="14"/>
    </row>
    <row r="893" ht="15.75" customHeight="1">
      <c r="V893" s="14"/>
    </row>
    <row r="894" ht="15.75" customHeight="1">
      <c r="V894" s="14"/>
    </row>
    <row r="895" ht="15.75" customHeight="1">
      <c r="V895" s="14"/>
    </row>
    <row r="896" ht="15.75" customHeight="1">
      <c r="V896" s="14"/>
    </row>
    <row r="897" ht="15.75" customHeight="1">
      <c r="V897" s="14"/>
    </row>
    <row r="898" ht="15.75" customHeight="1">
      <c r="V898" s="14"/>
    </row>
    <row r="899" ht="15.75" customHeight="1">
      <c r="V899" s="14"/>
    </row>
    <row r="900" ht="15.75" customHeight="1">
      <c r="V900" s="14"/>
    </row>
    <row r="901" ht="15.75" customHeight="1">
      <c r="V901" s="14"/>
    </row>
    <row r="902" ht="15.75" customHeight="1">
      <c r="V902" s="14"/>
    </row>
    <row r="903" ht="15.75" customHeight="1">
      <c r="V903" s="14"/>
    </row>
    <row r="904" ht="15.75" customHeight="1">
      <c r="V904" s="14"/>
    </row>
    <row r="905" ht="15.75" customHeight="1">
      <c r="V905" s="14"/>
    </row>
    <row r="906" ht="15.75" customHeight="1">
      <c r="V906" s="14"/>
    </row>
    <row r="907" ht="15.75" customHeight="1">
      <c r="V907" s="14"/>
    </row>
    <row r="908" ht="15.75" customHeight="1">
      <c r="V908" s="14"/>
    </row>
    <row r="909" ht="15.75" customHeight="1">
      <c r="V909" s="14"/>
    </row>
    <row r="910" ht="15.75" customHeight="1">
      <c r="V910" s="14"/>
    </row>
    <row r="911" ht="15.75" customHeight="1">
      <c r="V911" s="14"/>
    </row>
    <row r="912" ht="15.75" customHeight="1">
      <c r="V912" s="14"/>
    </row>
    <row r="913" ht="15.75" customHeight="1">
      <c r="V913" s="14"/>
    </row>
    <row r="914" ht="15.75" customHeight="1">
      <c r="V914" s="14"/>
    </row>
    <row r="915" ht="15.75" customHeight="1">
      <c r="V915" s="14"/>
    </row>
    <row r="916" ht="15.75" customHeight="1">
      <c r="V916" s="14"/>
    </row>
    <row r="917" ht="15.75" customHeight="1">
      <c r="V917" s="14"/>
    </row>
    <row r="918" ht="15.75" customHeight="1">
      <c r="V918" s="14"/>
    </row>
    <row r="919" ht="15.75" customHeight="1">
      <c r="V919" s="14"/>
    </row>
    <row r="920" ht="15.75" customHeight="1">
      <c r="V920" s="14"/>
    </row>
    <row r="921" ht="15.75" customHeight="1">
      <c r="V921" s="14"/>
    </row>
    <row r="922" ht="15.75" customHeight="1">
      <c r="V922" s="14"/>
    </row>
    <row r="923" ht="15.75" customHeight="1">
      <c r="V923" s="14"/>
    </row>
    <row r="924" ht="15.75" customHeight="1">
      <c r="V924" s="14"/>
    </row>
    <row r="925" ht="15.75" customHeight="1">
      <c r="V925" s="14"/>
    </row>
    <row r="926" ht="15.75" customHeight="1">
      <c r="V926" s="14"/>
    </row>
    <row r="927" ht="15.75" customHeight="1">
      <c r="V927" s="14"/>
    </row>
    <row r="928" ht="15.75" customHeight="1">
      <c r="V928" s="14"/>
    </row>
    <row r="929" ht="15.75" customHeight="1">
      <c r="V929" s="14"/>
    </row>
    <row r="930" ht="15.75" customHeight="1">
      <c r="V930" s="14"/>
    </row>
    <row r="931" ht="15.75" customHeight="1">
      <c r="V931" s="14"/>
    </row>
    <row r="932" ht="15.75" customHeight="1">
      <c r="V932" s="14"/>
    </row>
    <row r="933" ht="15.75" customHeight="1">
      <c r="V933" s="14"/>
    </row>
    <row r="934" ht="15.75" customHeight="1">
      <c r="V934" s="14"/>
    </row>
    <row r="935" ht="15.75" customHeight="1">
      <c r="V935" s="14"/>
    </row>
    <row r="936" ht="15.75" customHeight="1">
      <c r="V936" s="14"/>
    </row>
    <row r="937" ht="15.75" customHeight="1">
      <c r="V937" s="14"/>
    </row>
    <row r="938" ht="15.75" customHeight="1">
      <c r="V938" s="14"/>
    </row>
    <row r="939" ht="15.75" customHeight="1">
      <c r="V939" s="14"/>
    </row>
    <row r="940" ht="15.75" customHeight="1">
      <c r="V940" s="14"/>
    </row>
    <row r="941" ht="15.75" customHeight="1">
      <c r="V941" s="14"/>
    </row>
    <row r="942" ht="15.75" customHeight="1">
      <c r="V942" s="14"/>
    </row>
    <row r="943" ht="15.75" customHeight="1">
      <c r="V943" s="14"/>
    </row>
    <row r="944" ht="15.75" customHeight="1">
      <c r="V944" s="14"/>
    </row>
    <row r="945" ht="15.75" customHeight="1">
      <c r="V945" s="14"/>
    </row>
    <row r="946" ht="15.75" customHeight="1">
      <c r="V946" s="14"/>
    </row>
    <row r="947" ht="15.75" customHeight="1">
      <c r="V947" s="14"/>
    </row>
    <row r="948" ht="15.75" customHeight="1">
      <c r="V948" s="14"/>
    </row>
    <row r="949" ht="15.75" customHeight="1">
      <c r="V949" s="14"/>
    </row>
    <row r="950" ht="15.75" customHeight="1">
      <c r="V950" s="14"/>
    </row>
    <row r="951" ht="15.75" customHeight="1">
      <c r="V951" s="14"/>
    </row>
    <row r="952" ht="15.75" customHeight="1">
      <c r="V952" s="14"/>
    </row>
    <row r="953" ht="15.75" customHeight="1">
      <c r="V953" s="14"/>
    </row>
    <row r="954" ht="15.75" customHeight="1">
      <c r="V954" s="14"/>
    </row>
    <row r="955" ht="15.75" customHeight="1">
      <c r="V955" s="14"/>
    </row>
    <row r="956" ht="15.75" customHeight="1">
      <c r="V956" s="14"/>
    </row>
    <row r="957" ht="15.75" customHeight="1">
      <c r="V957" s="14"/>
    </row>
    <row r="958" ht="15.75" customHeight="1">
      <c r="V958" s="14"/>
    </row>
    <row r="959" ht="15.75" customHeight="1">
      <c r="V959" s="14"/>
    </row>
    <row r="960" ht="15.75" customHeight="1">
      <c r="V960" s="14"/>
    </row>
    <row r="961" ht="15.75" customHeight="1">
      <c r="V961" s="14"/>
    </row>
    <row r="962" ht="15.75" customHeight="1">
      <c r="V962" s="14"/>
    </row>
    <row r="963" ht="15.75" customHeight="1">
      <c r="V963" s="14"/>
    </row>
    <row r="964" ht="15.75" customHeight="1">
      <c r="V964" s="14"/>
    </row>
    <row r="965" ht="15.75" customHeight="1">
      <c r="V965" s="14"/>
    </row>
    <row r="966" ht="15.75" customHeight="1">
      <c r="V966" s="14"/>
    </row>
    <row r="967" ht="15.75" customHeight="1">
      <c r="V967" s="14"/>
    </row>
    <row r="968" ht="15.75" customHeight="1">
      <c r="V968" s="14"/>
    </row>
    <row r="969" ht="15.75" customHeight="1">
      <c r="V969" s="14"/>
    </row>
    <row r="970" ht="15.75" customHeight="1">
      <c r="V970" s="14"/>
    </row>
    <row r="971" ht="15.75" customHeight="1">
      <c r="V971" s="14"/>
    </row>
    <row r="972" ht="15.75" customHeight="1">
      <c r="V972" s="14"/>
    </row>
    <row r="973" ht="15.75" customHeight="1">
      <c r="V973" s="14"/>
    </row>
    <row r="974" ht="15.75" customHeight="1">
      <c r="V974" s="14"/>
    </row>
    <row r="975" ht="15.75" customHeight="1">
      <c r="V975" s="14"/>
    </row>
    <row r="976" ht="15.75" customHeight="1">
      <c r="V976" s="14"/>
    </row>
    <row r="977" ht="15.75" customHeight="1">
      <c r="V977" s="14"/>
    </row>
    <row r="978" ht="15.75" customHeight="1">
      <c r="V978" s="14"/>
    </row>
    <row r="979" ht="15.75" customHeight="1">
      <c r="V979" s="14"/>
    </row>
    <row r="980" ht="15.75" customHeight="1">
      <c r="V980" s="14"/>
    </row>
    <row r="981" ht="15.75" customHeight="1">
      <c r="V981" s="14"/>
    </row>
    <row r="982" ht="15.75" customHeight="1">
      <c r="V982" s="14"/>
    </row>
    <row r="983" ht="15.75" customHeight="1">
      <c r="V983" s="14"/>
    </row>
    <row r="984" ht="15.75" customHeight="1">
      <c r="V984" s="14"/>
    </row>
    <row r="985" ht="15.75" customHeight="1">
      <c r="V985" s="14"/>
    </row>
    <row r="986" ht="15.75" customHeight="1">
      <c r="V986" s="14"/>
    </row>
    <row r="987" ht="15.75" customHeight="1">
      <c r="V987" s="14"/>
    </row>
    <row r="988" ht="15.75" customHeight="1">
      <c r="V988" s="14"/>
    </row>
    <row r="989" ht="15.75" customHeight="1">
      <c r="V989" s="14"/>
    </row>
    <row r="990" ht="15.75" customHeight="1">
      <c r="V990" s="14"/>
    </row>
    <row r="991" ht="15.75" customHeight="1">
      <c r="V991" s="14"/>
    </row>
    <row r="992" ht="15.75" customHeight="1">
      <c r="V992" s="14"/>
    </row>
    <row r="993" ht="15.75" customHeight="1">
      <c r="V993" s="14"/>
    </row>
    <row r="994" ht="15.75" customHeight="1">
      <c r="V994" s="14"/>
    </row>
    <row r="995" ht="15.75" customHeight="1">
      <c r="V995" s="14"/>
    </row>
    <row r="996" ht="15.75" customHeight="1">
      <c r="V996" s="14"/>
    </row>
    <row r="997" ht="15.75" customHeight="1">
      <c r="V997" s="14"/>
    </row>
    <row r="998" ht="15.75" customHeight="1">
      <c r="V998" s="14"/>
    </row>
    <row r="999" ht="15.75" customHeight="1">
      <c r="V999" s="14"/>
    </row>
    <row r="1000" ht="15.75" customHeight="1">
      <c r="V1000" s="14"/>
    </row>
  </sheetData>
  <autoFilter ref="$A$1:$X$5"/>
  <dataValidations>
    <dataValidation type="list" allowBlank="1" sqref="T2:T5">
      <formula1>"approve,approve with my value,reject,ask AEA,skip for now"</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2.0"/>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215</v>
      </c>
      <c r="B2" s="4">
        <v>1372.0</v>
      </c>
      <c r="C2" s="4">
        <v>376.0</v>
      </c>
      <c r="D2" s="4" t="s">
        <v>216</v>
      </c>
      <c r="E2" s="4" t="s">
        <v>217</v>
      </c>
      <c r="F2" s="4" t="s">
        <v>121</v>
      </c>
      <c r="G2" s="4">
        <v>60.856858</v>
      </c>
      <c r="H2" s="4">
        <v>-162.276528</v>
      </c>
      <c r="I2" s="4">
        <v>60.15795</v>
      </c>
      <c r="J2" s="4">
        <v>-164.2801</v>
      </c>
      <c r="K2" s="4" t="s">
        <v>218</v>
      </c>
      <c r="L2" s="4" t="s">
        <v>219</v>
      </c>
      <c r="M2" s="4" t="s">
        <v>40</v>
      </c>
      <c r="N2" s="6" t="s">
        <v>220</v>
      </c>
      <c r="O2" s="4" t="s">
        <v>42</v>
      </c>
      <c r="P2" s="4">
        <v>60.85687</v>
      </c>
      <c r="Q2" s="4">
        <v>-162.27649</v>
      </c>
      <c r="R2" s="8" t="str">
        <f t="shared" ref="R2:R3" si="1">HYPERLINK("https://www.google.com/maps?q=60.856858,-162.276528","map: stored")</f>
        <v>map: stored</v>
      </c>
      <c r="S2" s="8" t="str">
        <f t="shared" ref="S2:S4" si="2">HYPERLINK("https://www.google.com/maps?q=60.157950,-164.280100","map: proposed")</f>
        <v>map: proposed</v>
      </c>
      <c r="T2" s="12"/>
      <c r="U2" s="12"/>
      <c r="V2" s="12"/>
      <c r="W2" s="12"/>
      <c r="X2" s="12"/>
    </row>
    <row r="3">
      <c r="A3" s="4" t="s">
        <v>221</v>
      </c>
      <c r="B3" s="4">
        <v>1373.0</v>
      </c>
      <c r="C3" s="4">
        <v>377.0</v>
      </c>
      <c r="D3" s="4" t="s">
        <v>222</v>
      </c>
      <c r="E3" s="4" t="s">
        <v>217</v>
      </c>
      <c r="F3" s="4" t="s">
        <v>121</v>
      </c>
      <c r="G3" s="4">
        <v>60.856858</v>
      </c>
      <c r="H3" s="4">
        <v>-162.276528</v>
      </c>
      <c r="I3" s="4">
        <v>60.15795</v>
      </c>
      <c r="J3" s="4">
        <v>-164.2801</v>
      </c>
      <c r="K3" s="4" t="s">
        <v>218</v>
      </c>
      <c r="L3" s="4" t="s">
        <v>219</v>
      </c>
      <c r="M3" s="4" t="s">
        <v>40</v>
      </c>
      <c r="N3" s="6" t="s">
        <v>220</v>
      </c>
      <c r="O3" s="4" t="s">
        <v>223</v>
      </c>
      <c r="P3" s="4"/>
      <c r="Q3" s="4"/>
      <c r="R3" s="8" t="str">
        <f t="shared" si="1"/>
        <v>map: stored</v>
      </c>
      <c r="S3" s="8" t="str">
        <f t="shared" si="2"/>
        <v>map: proposed</v>
      </c>
      <c r="T3" s="12"/>
      <c r="U3" s="12"/>
      <c r="V3" s="12"/>
      <c r="W3" s="12"/>
      <c r="X3" s="12"/>
    </row>
    <row r="4">
      <c r="A4" s="4" t="s">
        <v>224</v>
      </c>
      <c r="B4" s="4">
        <v>1375.0</v>
      </c>
      <c r="C4" s="4">
        <v>379.0</v>
      </c>
      <c r="D4" s="4" t="s">
        <v>225</v>
      </c>
      <c r="E4" s="4" t="s">
        <v>217</v>
      </c>
      <c r="F4" s="4" t="s">
        <v>121</v>
      </c>
      <c r="G4" s="4">
        <v>65.97995</v>
      </c>
      <c r="H4" s="4">
        <v>-161.131753</v>
      </c>
      <c r="I4" s="4">
        <v>60.15795</v>
      </c>
      <c r="J4" s="4">
        <v>-164.2801</v>
      </c>
      <c r="K4" s="4" t="s">
        <v>226</v>
      </c>
      <c r="L4" s="4" t="s">
        <v>219</v>
      </c>
      <c r="M4" s="4" t="s">
        <v>40</v>
      </c>
      <c r="N4" s="6" t="s">
        <v>227</v>
      </c>
      <c r="O4" s="4" t="s">
        <v>42</v>
      </c>
      <c r="P4" s="4">
        <v>65.97992</v>
      </c>
      <c r="Q4" s="4">
        <v>-161.13177</v>
      </c>
      <c r="R4" s="8" t="str">
        <f>HYPERLINK("https://www.google.com/maps?q=65.979950,-161.131753","map: stored")</f>
        <v>map: stored</v>
      </c>
      <c r="S4" s="8" t="str">
        <f t="shared" si="2"/>
        <v>map: proposed</v>
      </c>
      <c r="T4" s="12"/>
      <c r="U4" s="12"/>
      <c r="V4" s="12"/>
      <c r="W4" s="12"/>
      <c r="X4" s="12"/>
    </row>
    <row r="5">
      <c r="A5" s="4" t="s">
        <v>228</v>
      </c>
      <c r="B5" s="4">
        <v>1385.0</v>
      </c>
      <c r="C5" s="4">
        <v>395.0</v>
      </c>
      <c r="D5" s="4" t="s">
        <v>229</v>
      </c>
      <c r="E5" s="4" t="s">
        <v>230</v>
      </c>
      <c r="F5" s="4" t="s">
        <v>121</v>
      </c>
      <c r="G5" s="4">
        <v>65.332712</v>
      </c>
      <c r="H5" s="4">
        <v>-166.494224</v>
      </c>
      <c r="I5" s="4">
        <v>61.52809</v>
      </c>
      <c r="J5" s="4">
        <v>-165.5862</v>
      </c>
      <c r="K5" s="4" t="s">
        <v>231</v>
      </c>
      <c r="L5" s="4" t="s">
        <v>232</v>
      </c>
      <c r="M5" s="4" t="s">
        <v>40</v>
      </c>
      <c r="N5" s="6" t="s">
        <v>233</v>
      </c>
      <c r="O5" s="4" t="s">
        <v>42</v>
      </c>
      <c r="P5" s="4">
        <v>65.3327</v>
      </c>
      <c r="Q5" s="4">
        <v>-166.4942</v>
      </c>
      <c r="R5" s="8" t="str">
        <f>HYPERLINK("https://www.google.com/maps?q=65.332712,-166.494224","map: stored")</f>
        <v>map: stored</v>
      </c>
      <c r="S5" s="8" t="str">
        <f>HYPERLINK("https://www.google.com/maps?q=61.528090,-165.586200","map: proposed")</f>
        <v>map: proposed</v>
      </c>
      <c r="T5" s="12"/>
      <c r="U5" s="12"/>
      <c r="V5" s="12"/>
      <c r="W5" s="12"/>
      <c r="X5" s="12"/>
    </row>
    <row r="6">
      <c r="A6" s="4" t="s">
        <v>234</v>
      </c>
      <c r="B6" s="4">
        <v>1471.0</v>
      </c>
      <c r="C6" s="4">
        <v>684.0</v>
      </c>
      <c r="D6" s="4" t="s">
        <v>235</v>
      </c>
      <c r="E6" s="4" t="s">
        <v>236</v>
      </c>
      <c r="F6" s="4" t="s">
        <v>121</v>
      </c>
      <c r="G6" s="4">
        <v>66.567962</v>
      </c>
      <c r="H6" s="4">
        <v>-145.25809</v>
      </c>
      <c r="I6" s="4">
        <v>64.74393</v>
      </c>
      <c r="J6" s="4">
        <v>-156.87661</v>
      </c>
      <c r="K6" s="4" t="s">
        <v>237</v>
      </c>
      <c r="L6" s="4" t="s">
        <v>238</v>
      </c>
      <c r="M6" s="4" t="s">
        <v>40</v>
      </c>
      <c r="N6" s="6" t="s">
        <v>239</v>
      </c>
      <c r="O6" s="4" t="s">
        <v>42</v>
      </c>
      <c r="P6" s="4">
        <v>66.56787</v>
      </c>
      <c r="Q6" s="4">
        <v>-145.25812</v>
      </c>
      <c r="R6" s="8" t="str">
        <f>HYPERLINK("https://www.google.com/maps?q=66.567962,-145.258090","map: stored")</f>
        <v>map: stored</v>
      </c>
      <c r="S6" s="8" t="str">
        <f t="shared" ref="S6:S7" si="3">HYPERLINK("https://www.google.com/maps?q=64.743930,-156.876610","map: proposed")</f>
        <v>map: proposed</v>
      </c>
      <c r="T6" s="12"/>
      <c r="U6" s="12"/>
      <c r="V6" s="12"/>
      <c r="W6" s="12"/>
      <c r="X6" s="12"/>
    </row>
    <row r="7">
      <c r="A7" s="4" t="s">
        <v>240</v>
      </c>
      <c r="B7" s="4">
        <v>1475.0</v>
      </c>
      <c r="C7" s="4">
        <v>688.0</v>
      </c>
      <c r="D7" s="4" t="s">
        <v>241</v>
      </c>
      <c r="E7" s="4" t="s">
        <v>236</v>
      </c>
      <c r="F7" s="4" t="s">
        <v>121</v>
      </c>
      <c r="G7" s="4">
        <v>66.564199</v>
      </c>
      <c r="H7" s="4">
        <v>-145.257639</v>
      </c>
      <c r="I7" s="4">
        <v>64.74393</v>
      </c>
      <c r="J7" s="4">
        <v>-156.87661</v>
      </c>
      <c r="K7" s="4" t="s">
        <v>242</v>
      </c>
      <c r="L7" s="4" t="s">
        <v>238</v>
      </c>
      <c r="M7" s="4" t="s">
        <v>40</v>
      </c>
      <c r="N7" s="6" t="s">
        <v>239</v>
      </c>
      <c r="O7" s="4" t="s">
        <v>42</v>
      </c>
      <c r="P7" s="4">
        <v>66.56427</v>
      </c>
      <c r="Q7" s="4">
        <v>-145.25763</v>
      </c>
      <c r="R7" s="8" t="str">
        <f>HYPERLINK("https://www.google.com/maps?q=66.564199,-145.257639","map: stored")</f>
        <v>map: stored</v>
      </c>
      <c r="S7" s="8" t="str">
        <f t="shared" si="3"/>
        <v>map: proposed</v>
      </c>
      <c r="T7" s="12"/>
      <c r="U7" s="12"/>
      <c r="V7" s="12"/>
      <c r="W7" s="12"/>
      <c r="X7" s="12"/>
    </row>
    <row r="8">
      <c r="A8" s="4" t="s">
        <v>243</v>
      </c>
      <c r="B8" s="4">
        <v>1496.0</v>
      </c>
      <c r="C8" s="4">
        <v>754.0</v>
      </c>
      <c r="D8" s="4" t="s">
        <v>244</v>
      </c>
      <c r="E8" s="4" t="s">
        <v>245</v>
      </c>
      <c r="F8" s="4" t="s">
        <v>121</v>
      </c>
      <c r="G8" s="4">
        <v>67.087671</v>
      </c>
      <c r="H8" s="4">
        <v>-157.856722</v>
      </c>
      <c r="I8" s="4">
        <v>62.19671</v>
      </c>
      <c r="J8" s="4">
        <v>-159.77015</v>
      </c>
      <c r="K8" s="4" t="s">
        <v>246</v>
      </c>
      <c r="L8" s="4" t="s">
        <v>247</v>
      </c>
      <c r="M8" s="4" t="s">
        <v>40</v>
      </c>
      <c r="N8" s="6" t="s">
        <v>248</v>
      </c>
      <c r="O8" s="4" t="s">
        <v>42</v>
      </c>
      <c r="P8" s="4">
        <v>67.08771</v>
      </c>
      <c r="Q8" s="4">
        <v>-157.85669</v>
      </c>
      <c r="R8" s="8" t="str">
        <f>HYPERLINK("https://www.google.com/maps?q=67.087671,-157.856722","map: stored")</f>
        <v>map: stored</v>
      </c>
      <c r="S8" s="8" t="str">
        <f>HYPERLINK("https://www.google.com/maps?q=62.196710,-159.770150","map: proposed")</f>
        <v>map: proposed</v>
      </c>
      <c r="T8" s="12"/>
      <c r="U8" s="12"/>
      <c r="V8" s="12"/>
      <c r="W8" s="12"/>
      <c r="X8" s="12"/>
    </row>
    <row r="9">
      <c r="A9" s="4" t="s">
        <v>249</v>
      </c>
      <c r="B9" s="4">
        <v>1504.0</v>
      </c>
      <c r="C9" s="4">
        <v>786.0</v>
      </c>
      <c r="D9" s="4" t="s">
        <v>250</v>
      </c>
      <c r="E9" s="4" t="s">
        <v>251</v>
      </c>
      <c r="F9" s="4" t="s">
        <v>121</v>
      </c>
      <c r="G9" s="4">
        <v>64.733919</v>
      </c>
      <c r="H9" s="4">
        <v>-156.918809</v>
      </c>
      <c r="I9" s="4">
        <v>61.53062</v>
      </c>
      <c r="J9" s="4">
        <v>-166.10234</v>
      </c>
      <c r="K9" s="4" t="s">
        <v>252</v>
      </c>
      <c r="L9" s="4" t="s">
        <v>253</v>
      </c>
      <c r="M9" s="4" t="s">
        <v>40</v>
      </c>
      <c r="N9" s="6" t="s">
        <v>254</v>
      </c>
      <c r="O9" s="4" t="s">
        <v>255</v>
      </c>
      <c r="P9" s="4">
        <v>61.52991</v>
      </c>
      <c r="Q9" s="4">
        <v>-166.1037</v>
      </c>
      <c r="R9" s="8" t="str">
        <f>HYPERLINK("https://www.google.com/maps?q=64.733919,-156.918809","map: stored")</f>
        <v>map: stored</v>
      </c>
      <c r="S9" s="8" t="str">
        <f>HYPERLINK("https://www.google.com/maps?q=61.530620,-166.102340","map: proposed")</f>
        <v>map: proposed</v>
      </c>
      <c r="T9" s="12"/>
      <c r="U9" s="12"/>
      <c r="V9" s="12"/>
      <c r="W9" s="12"/>
      <c r="X9" s="12"/>
    </row>
    <row r="10">
      <c r="A10" s="4" t="s">
        <v>256</v>
      </c>
      <c r="B10" s="4">
        <v>1560.0</v>
      </c>
      <c r="C10" s="4">
        <v>891.0</v>
      </c>
      <c r="D10" s="4" t="s">
        <v>257</v>
      </c>
      <c r="E10" s="4" t="s">
        <v>258</v>
      </c>
      <c r="F10" s="4" t="s">
        <v>121</v>
      </c>
      <c r="G10" s="4">
        <v>70.483335</v>
      </c>
      <c r="H10" s="4">
        <v>-157.426035</v>
      </c>
      <c r="I10" s="4">
        <v>70.12888</v>
      </c>
      <c r="J10" s="4">
        <v>-143.61834</v>
      </c>
      <c r="K10" s="4" t="s">
        <v>259</v>
      </c>
      <c r="L10" s="4" t="s">
        <v>260</v>
      </c>
      <c r="M10" s="4" t="s">
        <v>40</v>
      </c>
      <c r="N10" s="6" t="s">
        <v>261</v>
      </c>
      <c r="O10" s="4" t="s">
        <v>223</v>
      </c>
      <c r="P10" s="4"/>
      <c r="Q10" s="4"/>
      <c r="R10" s="8" t="str">
        <f>HYPERLINK("https://www.google.com/maps?q=70.483335,-157.426035","map: stored")</f>
        <v>map: stored</v>
      </c>
      <c r="S10" s="8" t="str">
        <f t="shared" ref="S10:S11" si="4">HYPERLINK("https://www.google.com/maps?q=70.128880,-143.618340","map: proposed")</f>
        <v>map: proposed</v>
      </c>
      <c r="T10" s="12"/>
      <c r="U10" s="12"/>
      <c r="V10" s="12"/>
      <c r="W10" s="12"/>
      <c r="X10" s="12"/>
    </row>
    <row r="11">
      <c r="A11" s="4" t="s">
        <v>262</v>
      </c>
      <c r="B11" s="4">
        <v>1562.0</v>
      </c>
      <c r="C11" s="4">
        <v>893.0</v>
      </c>
      <c r="D11" s="4" t="s">
        <v>263</v>
      </c>
      <c r="E11" s="4" t="s">
        <v>258</v>
      </c>
      <c r="F11" s="4" t="s">
        <v>121</v>
      </c>
      <c r="G11" s="4">
        <v>70.481532</v>
      </c>
      <c r="H11" s="4">
        <v>-157.42508</v>
      </c>
      <c r="I11" s="4">
        <v>70.12888</v>
      </c>
      <c r="J11" s="4">
        <v>-143.61834</v>
      </c>
      <c r="K11" s="4" t="s">
        <v>264</v>
      </c>
      <c r="L11" s="4" t="s">
        <v>260</v>
      </c>
      <c r="M11" s="4" t="s">
        <v>40</v>
      </c>
      <c r="N11" s="6" t="s">
        <v>265</v>
      </c>
      <c r="O11" s="4" t="s">
        <v>42</v>
      </c>
      <c r="P11" s="4">
        <v>70.48151</v>
      </c>
      <c r="Q11" s="4">
        <v>-157.42511</v>
      </c>
      <c r="R11" s="8" t="str">
        <f>HYPERLINK("https://www.google.com/maps?q=70.481532,-157.425080","map: stored")</f>
        <v>map: stored</v>
      </c>
      <c r="S11" s="8" t="str">
        <f t="shared" si="4"/>
        <v>map: proposed</v>
      </c>
      <c r="T11" s="12"/>
      <c r="U11" s="12"/>
      <c r="V11" s="12"/>
      <c r="W11" s="12"/>
      <c r="X11" s="12"/>
    </row>
    <row r="12">
      <c r="A12" s="4" t="s">
        <v>266</v>
      </c>
      <c r="B12" s="4">
        <v>1563.0</v>
      </c>
      <c r="C12" s="4">
        <v>903.0</v>
      </c>
      <c r="D12" s="4" t="s">
        <v>267</v>
      </c>
      <c r="E12" s="4" t="s">
        <v>268</v>
      </c>
      <c r="F12" s="4" t="s">
        <v>121</v>
      </c>
      <c r="G12" s="4">
        <v>64.87965</v>
      </c>
      <c r="H12" s="4">
        <v>-157.718668</v>
      </c>
      <c r="I12" s="4">
        <v>64.32472</v>
      </c>
      <c r="J12" s="4">
        <v>-158.72837</v>
      </c>
      <c r="K12" s="4" t="s">
        <v>269</v>
      </c>
      <c r="L12" s="4" t="s">
        <v>270</v>
      </c>
      <c r="M12" s="4" t="s">
        <v>40</v>
      </c>
      <c r="N12" s="6" t="s">
        <v>271</v>
      </c>
      <c r="O12" s="4" t="s">
        <v>42</v>
      </c>
      <c r="P12" s="4">
        <v>64.8797</v>
      </c>
      <c r="Q12" s="4">
        <v>-157.71869</v>
      </c>
      <c r="R12" s="8" t="str">
        <f>HYPERLINK("https://www.google.com/maps?q=64.879650,-157.718668","map: stored")</f>
        <v>map: stored</v>
      </c>
      <c r="S12" s="8" t="str">
        <f>HYPERLINK("https://www.google.com/maps?q=64.324720,-158.728370","map: proposed")</f>
        <v>map: proposed</v>
      </c>
      <c r="T12" s="12"/>
      <c r="U12" s="12"/>
      <c r="V12" s="12"/>
      <c r="W12" s="12"/>
      <c r="X12" s="12"/>
    </row>
    <row r="13">
      <c r="A13" s="4" t="s">
        <v>272</v>
      </c>
      <c r="B13" s="4">
        <v>1578.0</v>
      </c>
      <c r="C13" s="4">
        <v>969.0</v>
      </c>
      <c r="D13" s="4" t="s">
        <v>273</v>
      </c>
      <c r="E13" s="4" t="s">
        <v>274</v>
      </c>
      <c r="F13" s="4" t="s">
        <v>121</v>
      </c>
      <c r="G13" s="4">
        <v>65.980507</v>
      </c>
      <c r="H13" s="4">
        <v>-161.138453</v>
      </c>
      <c r="I13" s="4">
        <v>66.97022</v>
      </c>
      <c r="J13" s="4">
        <v>-160.44308</v>
      </c>
      <c r="K13" s="4" t="s">
        <v>275</v>
      </c>
      <c r="L13" s="4" t="s">
        <v>276</v>
      </c>
      <c r="M13" s="4" t="s">
        <v>40</v>
      </c>
      <c r="N13" s="6" t="s">
        <v>277</v>
      </c>
      <c r="O13" s="4" t="s">
        <v>42</v>
      </c>
      <c r="P13" s="4">
        <v>65.98053</v>
      </c>
      <c r="Q13" s="4">
        <v>-161.13843</v>
      </c>
      <c r="R13" s="8" t="str">
        <f>HYPERLINK("https://www.google.com/maps?q=65.980507,-161.138453","map: stored")</f>
        <v>map: stored</v>
      </c>
      <c r="S13" s="8" t="str">
        <f>HYPERLINK("https://www.google.com/maps?q=66.970220,-160.443080","map: proposed")</f>
        <v>map: proposed</v>
      </c>
      <c r="T13" s="12"/>
      <c r="U13" s="12"/>
      <c r="V13" s="12"/>
      <c r="W13" s="12"/>
      <c r="X13" s="12"/>
    </row>
    <row r="14">
      <c r="A14" s="4" t="s">
        <v>278</v>
      </c>
      <c r="B14" s="4">
        <v>1584.0</v>
      </c>
      <c r="C14" s="4">
        <v>988.0</v>
      </c>
      <c r="D14" s="4" t="s">
        <v>279</v>
      </c>
      <c r="E14" s="4" t="s">
        <v>280</v>
      </c>
      <c r="F14" s="4" t="s">
        <v>121</v>
      </c>
      <c r="G14" s="4">
        <v>60.856858</v>
      </c>
      <c r="H14" s="4">
        <v>-162.276528</v>
      </c>
      <c r="I14" s="4">
        <v>59.94058</v>
      </c>
      <c r="J14" s="4">
        <v>-164.03627</v>
      </c>
      <c r="K14" s="4" t="s">
        <v>218</v>
      </c>
      <c r="L14" s="4" t="s">
        <v>281</v>
      </c>
      <c r="M14" s="4" t="s">
        <v>40</v>
      </c>
      <c r="N14" s="6" t="s">
        <v>282</v>
      </c>
      <c r="O14" s="4" t="s">
        <v>42</v>
      </c>
      <c r="P14" s="4">
        <v>60.85687</v>
      </c>
      <c r="Q14" s="4">
        <v>-162.27649</v>
      </c>
      <c r="R14" s="8" t="str">
        <f>HYPERLINK("https://www.google.com/maps?q=60.856858,-162.276528","map: stored")</f>
        <v>map: stored</v>
      </c>
      <c r="S14" s="8" t="str">
        <f>HYPERLINK("https://www.google.com/maps?q=59.940580,-164.036270","map: proposed")</f>
        <v>map: proposed</v>
      </c>
      <c r="T14" s="12"/>
      <c r="U14" s="12"/>
      <c r="V14" s="12"/>
      <c r="W14" s="12"/>
      <c r="X14" s="12"/>
    </row>
    <row r="15">
      <c r="A15" s="4" t="s">
        <v>283</v>
      </c>
      <c r="B15" s="4">
        <v>1605.0</v>
      </c>
      <c r="C15" s="4">
        <v>1052.0</v>
      </c>
      <c r="D15" s="4" t="s">
        <v>284</v>
      </c>
      <c r="E15" s="4" t="s">
        <v>285</v>
      </c>
      <c r="F15" s="4" t="s">
        <v>121</v>
      </c>
      <c r="G15" s="4">
        <v>65.97995</v>
      </c>
      <c r="H15" s="4">
        <v>-161.131753</v>
      </c>
      <c r="I15" s="4">
        <v>59.95892</v>
      </c>
      <c r="J15" s="4">
        <v>-162.88771</v>
      </c>
      <c r="K15" s="4" t="s">
        <v>226</v>
      </c>
      <c r="L15" s="4" t="s">
        <v>286</v>
      </c>
      <c r="M15" s="4" t="s">
        <v>40</v>
      </c>
      <c r="N15" s="6" t="s">
        <v>287</v>
      </c>
      <c r="O15" s="4" t="s">
        <v>42</v>
      </c>
      <c r="P15" s="4">
        <v>65.97992</v>
      </c>
      <c r="Q15" s="4">
        <v>-161.13177</v>
      </c>
      <c r="R15" s="8" t="str">
        <f t="shared" ref="R15:R17" si="5">HYPERLINK("https://www.google.com/maps?q=65.979950,-161.131753","map: stored")</f>
        <v>map: stored</v>
      </c>
      <c r="S15" s="8" t="str">
        <f>HYPERLINK("https://www.google.com/maps?q=59.958920,-162.887710","map: proposed")</f>
        <v>map: proposed</v>
      </c>
      <c r="T15" s="12"/>
      <c r="U15" s="12"/>
      <c r="V15" s="12"/>
      <c r="W15" s="12"/>
      <c r="X15" s="12"/>
    </row>
    <row r="16">
      <c r="A16" s="4" t="s">
        <v>288</v>
      </c>
      <c r="B16" s="4">
        <v>1614.0</v>
      </c>
      <c r="C16" s="4">
        <v>1081.0</v>
      </c>
      <c r="D16" s="4" t="s">
        <v>289</v>
      </c>
      <c r="E16" s="4" t="s">
        <v>290</v>
      </c>
      <c r="F16" s="4" t="s">
        <v>121</v>
      </c>
      <c r="G16" s="4">
        <v>65.97995</v>
      </c>
      <c r="H16" s="4">
        <v>-161.131753</v>
      </c>
      <c r="I16" s="4">
        <v>64.88158</v>
      </c>
      <c r="J16" s="4">
        <v>-157.7057</v>
      </c>
      <c r="K16" s="4" t="s">
        <v>226</v>
      </c>
      <c r="L16" s="4" t="s">
        <v>291</v>
      </c>
      <c r="M16" s="4" t="s">
        <v>40</v>
      </c>
      <c r="N16" s="6" t="s">
        <v>292</v>
      </c>
      <c r="O16" s="4" t="s">
        <v>42</v>
      </c>
      <c r="P16" s="4">
        <v>65.97992</v>
      </c>
      <c r="Q16" s="4">
        <v>-161.13177</v>
      </c>
      <c r="R16" s="8" t="str">
        <f t="shared" si="5"/>
        <v>map: stored</v>
      </c>
      <c r="S16" s="8" t="str">
        <f>HYPERLINK("https://www.google.com/maps?q=64.881580,-157.705700","map: proposed")</f>
        <v>map: proposed</v>
      </c>
      <c r="T16" s="12"/>
      <c r="U16" s="12"/>
      <c r="V16" s="12"/>
      <c r="W16" s="12"/>
      <c r="X16" s="12"/>
    </row>
    <row r="17">
      <c r="A17" s="4" t="s">
        <v>293</v>
      </c>
      <c r="B17" s="4">
        <v>1618.0</v>
      </c>
      <c r="C17" s="4">
        <v>1095.0</v>
      </c>
      <c r="D17" s="4" t="s">
        <v>294</v>
      </c>
      <c r="E17" s="4" t="s">
        <v>295</v>
      </c>
      <c r="F17" s="4" t="s">
        <v>121</v>
      </c>
      <c r="G17" s="4">
        <v>65.97995</v>
      </c>
      <c r="H17" s="4">
        <v>-161.131753</v>
      </c>
      <c r="I17" s="4">
        <v>59.88183</v>
      </c>
      <c r="J17" s="4">
        <v>-163.15163</v>
      </c>
      <c r="K17" s="4" t="s">
        <v>226</v>
      </c>
      <c r="L17" s="4" t="s">
        <v>296</v>
      </c>
      <c r="M17" s="4" t="s">
        <v>40</v>
      </c>
      <c r="N17" s="6" t="s">
        <v>297</v>
      </c>
      <c r="O17" s="4" t="s">
        <v>42</v>
      </c>
      <c r="P17" s="4">
        <v>65.97992</v>
      </c>
      <c r="Q17" s="4">
        <v>-161.13177</v>
      </c>
      <c r="R17" s="8" t="str">
        <f t="shared" si="5"/>
        <v>map: stored</v>
      </c>
      <c r="S17" s="8" t="str">
        <f>HYPERLINK("https://www.google.com/maps?q=59.881830,-163.151630","map: proposed")</f>
        <v>map: proposed</v>
      </c>
      <c r="T17" s="12"/>
      <c r="U17" s="12"/>
      <c r="V17" s="12"/>
      <c r="W17" s="12"/>
      <c r="X17" s="12"/>
    </row>
    <row r="18">
      <c r="A18" s="4" t="s">
        <v>298</v>
      </c>
      <c r="B18" s="4">
        <v>1630.0</v>
      </c>
      <c r="C18" s="4">
        <v>1119.0</v>
      </c>
      <c r="D18" s="4" t="s">
        <v>299</v>
      </c>
      <c r="E18" s="4" t="s">
        <v>300</v>
      </c>
      <c r="F18" s="4" t="s">
        <v>121</v>
      </c>
      <c r="G18" s="4">
        <v>61.580835</v>
      </c>
      <c r="H18" s="4">
        <v>-159.551052</v>
      </c>
      <c r="I18" s="4">
        <v>61.51268</v>
      </c>
      <c r="J18" s="4">
        <v>-160.36412</v>
      </c>
      <c r="K18" s="4" t="s">
        <v>301</v>
      </c>
      <c r="L18" s="4" t="s">
        <v>302</v>
      </c>
      <c r="M18" s="4" t="s">
        <v>40</v>
      </c>
      <c r="N18" s="6" t="s">
        <v>303</v>
      </c>
      <c r="O18" s="4" t="s">
        <v>42</v>
      </c>
      <c r="P18" s="4">
        <v>61.57312</v>
      </c>
      <c r="Q18" s="4">
        <v>-159.24902</v>
      </c>
      <c r="R18" s="8" t="str">
        <f>HYPERLINK("https://www.google.com/maps?q=61.580835,-159.551052","map: stored")</f>
        <v>map: stored</v>
      </c>
      <c r="S18" s="8" t="str">
        <f>HYPERLINK("https://www.google.com/maps?q=61.512680,-160.364120","map: proposed")</f>
        <v>map: proposed</v>
      </c>
      <c r="T18" s="12"/>
      <c r="U18" s="12"/>
      <c r="V18" s="12"/>
      <c r="W18" s="12"/>
      <c r="X18" s="12"/>
    </row>
    <row r="19">
      <c r="A19" s="4" t="s">
        <v>304</v>
      </c>
      <c r="B19" s="4">
        <v>1654.0</v>
      </c>
      <c r="C19" s="4">
        <v>1189.0</v>
      </c>
      <c r="D19" s="4" t="s">
        <v>305</v>
      </c>
      <c r="E19" s="4" t="s">
        <v>306</v>
      </c>
      <c r="F19" s="4" t="s">
        <v>121</v>
      </c>
      <c r="G19" s="4">
        <v>60.81077</v>
      </c>
      <c r="H19" s="4">
        <v>-161.422558</v>
      </c>
      <c r="I19" s="4">
        <v>60.69617</v>
      </c>
      <c r="J19" s="4">
        <v>-161.98203</v>
      </c>
      <c r="K19" s="4" t="s">
        <v>307</v>
      </c>
      <c r="L19" s="4" t="s">
        <v>308</v>
      </c>
      <c r="M19" s="4" t="s">
        <v>40</v>
      </c>
      <c r="N19" s="6" t="s">
        <v>309</v>
      </c>
      <c r="O19" s="4" t="s">
        <v>42</v>
      </c>
      <c r="P19" s="4">
        <v>60.81091</v>
      </c>
      <c r="Q19" s="4">
        <v>-161.42249</v>
      </c>
      <c r="R19" s="8" t="str">
        <f>HYPERLINK("https://www.google.com/maps?q=60.810770,-161.422558","map: stored")</f>
        <v>map: stored</v>
      </c>
      <c r="S19" s="8" t="str">
        <f>HYPERLINK("https://www.google.com/maps?q=60.696170,-161.982030","map: proposed")</f>
        <v>map: proposed</v>
      </c>
      <c r="T19" s="12"/>
      <c r="U19" s="12"/>
      <c r="V19" s="12"/>
      <c r="W19" s="12"/>
      <c r="X19" s="12"/>
    </row>
    <row r="20">
      <c r="A20" s="4" t="s">
        <v>310</v>
      </c>
      <c r="B20" s="4">
        <v>1676.0</v>
      </c>
      <c r="C20" s="4">
        <v>1224.0</v>
      </c>
      <c r="D20" s="4" t="s">
        <v>311</v>
      </c>
      <c r="E20" s="4" t="s">
        <v>312</v>
      </c>
      <c r="F20" s="4" t="s">
        <v>121</v>
      </c>
      <c r="G20" s="4">
        <v>60.856858</v>
      </c>
      <c r="H20" s="4">
        <v>-162.276528</v>
      </c>
      <c r="I20" s="4">
        <v>60.47936</v>
      </c>
      <c r="J20" s="4">
        <v>-164.72564</v>
      </c>
      <c r="K20" s="4" t="s">
        <v>218</v>
      </c>
      <c r="L20" s="4" t="s">
        <v>313</v>
      </c>
      <c r="M20" s="4" t="s">
        <v>40</v>
      </c>
      <c r="N20" s="6" t="s">
        <v>314</v>
      </c>
      <c r="O20" s="4" t="s">
        <v>42</v>
      </c>
      <c r="P20" s="4">
        <v>60.85687</v>
      </c>
      <c r="Q20" s="4">
        <v>-162.27649</v>
      </c>
      <c r="R20" s="8" t="str">
        <f>HYPERLINK("https://www.google.com/maps?q=60.856858,-162.276528","map: stored")</f>
        <v>map: stored</v>
      </c>
      <c r="S20" s="8" t="str">
        <f t="shared" ref="S20:S22" si="6">HYPERLINK("https://www.google.com/maps?q=60.479360,-164.725640","map: proposed")</f>
        <v>map: proposed</v>
      </c>
      <c r="T20" s="12"/>
      <c r="U20" s="12"/>
      <c r="V20" s="12"/>
      <c r="W20" s="12"/>
      <c r="X20" s="12"/>
    </row>
    <row r="21" ht="15.75" customHeight="1">
      <c r="A21" s="4" t="s">
        <v>315</v>
      </c>
      <c r="B21" s="4">
        <v>1678.0</v>
      </c>
      <c r="C21" s="4">
        <v>1226.0</v>
      </c>
      <c r="D21" s="4" t="s">
        <v>316</v>
      </c>
      <c r="E21" s="4" t="s">
        <v>312</v>
      </c>
      <c r="F21" s="4" t="s">
        <v>121</v>
      </c>
      <c r="G21" s="4">
        <v>65.332712</v>
      </c>
      <c r="H21" s="4">
        <v>-166.494224</v>
      </c>
      <c r="I21" s="4">
        <v>60.47936</v>
      </c>
      <c r="J21" s="4">
        <v>-164.72564</v>
      </c>
      <c r="K21" s="4" t="s">
        <v>231</v>
      </c>
      <c r="L21" s="4" t="s">
        <v>313</v>
      </c>
      <c r="M21" s="4" t="s">
        <v>40</v>
      </c>
      <c r="N21" s="6" t="s">
        <v>317</v>
      </c>
      <c r="O21" s="4" t="s">
        <v>42</v>
      </c>
      <c r="P21" s="4">
        <v>65.3327</v>
      </c>
      <c r="Q21" s="4">
        <v>-166.4942</v>
      </c>
      <c r="R21" s="8" t="str">
        <f>HYPERLINK("https://www.google.com/maps?q=65.332712,-166.494224","map: stored")</f>
        <v>map: stored</v>
      </c>
      <c r="S21" s="8" t="str">
        <f t="shared" si="6"/>
        <v>map: proposed</v>
      </c>
      <c r="T21" s="12"/>
      <c r="U21" s="12"/>
      <c r="V21" s="12"/>
      <c r="W21" s="12"/>
      <c r="X21" s="12"/>
    </row>
    <row r="22" ht="15.75" customHeight="1">
      <c r="A22" s="4" t="s">
        <v>318</v>
      </c>
      <c r="B22" s="4">
        <v>1680.0</v>
      </c>
      <c r="C22" s="4">
        <v>1228.0</v>
      </c>
      <c r="D22" s="4" t="s">
        <v>319</v>
      </c>
      <c r="E22" s="4" t="s">
        <v>312</v>
      </c>
      <c r="F22" s="4" t="s">
        <v>121</v>
      </c>
      <c r="G22" s="4">
        <v>59.755523</v>
      </c>
      <c r="H22" s="4">
        <v>-154.902174</v>
      </c>
      <c r="I22" s="4">
        <v>60.47936</v>
      </c>
      <c r="J22" s="4">
        <v>-164.72564</v>
      </c>
      <c r="K22" s="4" t="s">
        <v>320</v>
      </c>
      <c r="L22" s="4" t="s">
        <v>313</v>
      </c>
      <c r="M22" s="4" t="s">
        <v>40</v>
      </c>
      <c r="N22" s="6" t="s">
        <v>321</v>
      </c>
      <c r="O22" s="4" t="s">
        <v>42</v>
      </c>
      <c r="P22" s="4">
        <v>59.75549</v>
      </c>
      <c r="Q22" s="4">
        <v>-154.9021</v>
      </c>
      <c r="R22" s="8" t="str">
        <f>HYPERLINK("https://www.google.com/maps?q=59.755523,-154.902174","map: stored")</f>
        <v>map: stored</v>
      </c>
      <c r="S22" s="8" t="str">
        <f t="shared" si="6"/>
        <v>map: proposed</v>
      </c>
      <c r="T22" s="12"/>
      <c r="U22" s="12"/>
      <c r="V22" s="12"/>
      <c r="W22" s="12"/>
      <c r="X22" s="12"/>
    </row>
    <row r="23" ht="15.75" customHeight="1">
      <c r="A23" s="4" t="s">
        <v>322</v>
      </c>
      <c r="B23" s="4">
        <v>1693.0</v>
      </c>
      <c r="C23" s="4">
        <v>1274.0</v>
      </c>
      <c r="D23" s="4" t="s">
        <v>323</v>
      </c>
      <c r="E23" s="4" t="s">
        <v>210</v>
      </c>
      <c r="F23" s="4" t="s">
        <v>121</v>
      </c>
      <c r="G23" s="4">
        <v>66.971509</v>
      </c>
      <c r="H23" s="4">
        <v>-160.438257</v>
      </c>
      <c r="I23" s="4">
        <v>66.83375</v>
      </c>
      <c r="J23" s="4">
        <v>-161.039</v>
      </c>
      <c r="K23" s="4" t="s">
        <v>324</v>
      </c>
      <c r="L23" s="4" t="s">
        <v>212</v>
      </c>
      <c r="M23" s="4" t="s">
        <v>40</v>
      </c>
      <c r="N23" s="6" t="s">
        <v>325</v>
      </c>
      <c r="O23" s="4" t="s">
        <v>255</v>
      </c>
      <c r="P23" s="4">
        <v>66.83289</v>
      </c>
      <c r="Q23" s="4">
        <v>-161.04431</v>
      </c>
      <c r="R23" s="8" t="str">
        <f t="shared" ref="R23:R24" si="7">HYPERLINK("https://www.google.com/maps?q=66.971509,-160.438257","map: stored")</f>
        <v>map: stored</v>
      </c>
      <c r="S23" s="8" t="str">
        <f t="shared" ref="S23:S24" si="8">HYPERLINK("https://www.google.com/maps?q=66.833750,-161.039000","map: proposed")</f>
        <v>map: proposed</v>
      </c>
      <c r="T23" s="12"/>
      <c r="U23" s="12"/>
      <c r="V23" s="12"/>
      <c r="W23" s="12"/>
      <c r="X23" s="12"/>
    </row>
    <row r="24" ht="15.75" customHeight="1">
      <c r="A24" s="4" t="s">
        <v>326</v>
      </c>
      <c r="B24" s="4">
        <v>1696.0</v>
      </c>
      <c r="C24" s="4">
        <v>1277.0</v>
      </c>
      <c r="D24" s="4" t="s">
        <v>327</v>
      </c>
      <c r="E24" s="4" t="s">
        <v>210</v>
      </c>
      <c r="F24" s="4" t="s">
        <v>121</v>
      </c>
      <c r="G24" s="4">
        <v>66.971509</v>
      </c>
      <c r="H24" s="4">
        <v>-160.438257</v>
      </c>
      <c r="I24" s="4">
        <v>66.83375</v>
      </c>
      <c r="J24" s="4">
        <v>-161.039</v>
      </c>
      <c r="K24" s="4" t="s">
        <v>324</v>
      </c>
      <c r="L24" s="4" t="s">
        <v>212</v>
      </c>
      <c r="M24" s="4" t="s">
        <v>40</v>
      </c>
      <c r="N24" s="6" t="s">
        <v>325</v>
      </c>
      <c r="O24" s="4" t="s">
        <v>223</v>
      </c>
      <c r="P24" s="4"/>
      <c r="Q24" s="4"/>
      <c r="R24" s="8" t="str">
        <f t="shared" si="7"/>
        <v>map: stored</v>
      </c>
      <c r="S24" s="8" t="str">
        <f t="shared" si="8"/>
        <v>map: proposed</v>
      </c>
      <c r="T24" s="12"/>
      <c r="U24" s="12"/>
      <c r="V24" s="12"/>
      <c r="W24" s="12"/>
      <c r="X24" s="12"/>
    </row>
    <row r="25" ht="15.75" customHeight="1">
      <c r="A25" s="4" t="s">
        <v>328</v>
      </c>
      <c r="B25" s="4">
        <v>1716.0</v>
      </c>
      <c r="C25" s="4">
        <v>1310.0</v>
      </c>
      <c r="D25" s="4" t="s">
        <v>329</v>
      </c>
      <c r="E25" s="4" t="s">
        <v>330</v>
      </c>
      <c r="F25" s="4" t="s">
        <v>121</v>
      </c>
      <c r="G25" s="4">
        <v>70.481532</v>
      </c>
      <c r="H25" s="4">
        <v>-157.42508</v>
      </c>
      <c r="I25" s="4">
        <v>70.21607</v>
      </c>
      <c r="J25" s="4">
        <v>-150.99798</v>
      </c>
      <c r="K25" s="4" t="s">
        <v>264</v>
      </c>
      <c r="L25" s="4" t="s">
        <v>331</v>
      </c>
      <c r="M25" s="4" t="s">
        <v>40</v>
      </c>
      <c r="N25" s="6" t="s">
        <v>332</v>
      </c>
      <c r="O25" s="4" t="s">
        <v>42</v>
      </c>
      <c r="P25" s="4">
        <v>70.48151</v>
      </c>
      <c r="Q25" s="4">
        <v>-157.42511</v>
      </c>
      <c r="R25" s="8" t="str">
        <f>HYPERLINK("https://www.google.com/maps?q=70.481532,-157.425080","map: stored")</f>
        <v>map: stored</v>
      </c>
      <c r="S25" s="8" t="str">
        <f t="shared" ref="S25:S27" si="9">HYPERLINK("https://www.google.com/maps?q=70.216070,-150.997980","map: proposed")</f>
        <v>map: proposed</v>
      </c>
      <c r="T25" s="12"/>
      <c r="U25" s="12"/>
      <c r="V25" s="12"/>
      <c r="W25" s="12"/>
      <c r="X25" s="12"/>
    </row>
    <row r="26" ht="15.75" customHeight="1">
      <c r="A26" s="4" t="s">
        <v>333</v>
      </c>
      <c r="B26" s="4">
        <v>1717.0</v>
      </c>
      <c r="C26" s="4">
        <v>1311.0</v>
      </c>
      <c r="D26" s="4" t="s">
        <v>334</v>
      </c>
      <c r="E26" s="4" t="s">
        <v>330</v>
      </c>
      <c r="F26" s="4" t="s">
        <v>121</v>
      </c>
      <c r="G26" s="4">
        <v>70.483335</v>
      </c>
      <c r="H26" s="4">
        <v>-157.426035</v>
      </c>
      <c r="I26" s="4">
        <v>70.21607</v>
      </c>
      <c r="J26" s="4">
        <v>-150.99798</v>
      </c>
      <c r="K26" s="4" t="s">
        <v>259</v>
      </c>
      <c r="L26" s="4" t="s">
        <v>331</v>
      </c>
      <c r="M26" s="4" t="s">
        <v>40</v>
      </c>
      <c r="N26" s="6" t="s">
        <v>339</v>
      </c>
      <c r="O26" s="4" t="s">
        <v>223</v>
      </c>
      <c r="P26" s="4"/>
      <c r="Q26" s="4"/>
      <c r="R26" s="8" t="str">
        <f>HYPERLINK("https://www.google.com/maps?q=70.483335,-157.426035","map: stored")</f>
        <v>map: stored</v>
      </c>
      <c r="S26" s="8" t="str">
        <f t="shared" si="9"/>
        <v>map: proposed</v>
      </c>
      <c r="T26" s="12"/>
      <c r="U26" s="12"/>
      <c r="V26" s="12"/>
      <c r="W26" s="12"/>
      <c r="X26" s="12"/>
    </row>
    <row r="27" ht="15.75" customHeight="1">
      <c r="A27" s="4" t="s">
        <v>341</v>
      </c>
      <c r="B27" s="4">
        <v>1718.0</v>
      </c>
      <c r="C27" s="4">
        <v>1312.0</v>
      </c>
      <c r="D27" s="4" t="s">
        <v>342</v>
      </c>
      <c r="E27" s="4" t="s">
        <v>330</v>
      </c>
      <c r="F27" s="4" t="s">
        <v>121</v>
      </c>
      <c r="G27" s="4">
        <v>70.482405</v>
      </c>
      <c r="H27" s="4">
        <v>-157.425305</v>
      </c>
      <c r="I27" s="4">
        <v>70.21607</v>
      </c>
      <c r="J27" s="4">
        <v>-150.99798</v>
      </c>
      <c r="K27" s="4" t="s">
        <v>343</v>
      </c>
      <c r="L27" s="4" t="s">
        <v>331</v>
      </c>
      <c r="M27" s="4" t="s">
        <v>40</v>
      </c>
      <c r="N27" s="6" t="s">
        <v>344</v>
      </c>
      <c r="O27" s="4" t="s">
        <v>42</v>
      </c>
      <c r="P27" s="4">
        <v>70.48248</v>
      </c>
      <c r="Q27" s="4">
        <v>-157.42529</v>
      </c>
      <c r="R27" s="8" t="str">
        <f>HYPERLINK("https://www.google.com/maps?q=70.482405,-157.425305","map: stored")</f>
        <v>map: stored</v>
      </c>
      <c r="S27" s="8" t="str">
        <f t="shared" si="9"/>
        <v>map: proposed</v>
      </c>
      <c r="T27" s="12"/>
      <c r="U27" s="12"/>
      <c r="V27" s="12"/>
      <c r="W27" s="12"/>
      <c r="X27" s="12"/>
    </row>
    <row r="28" ht="15.75" customHeight="1">
      <c r="A28" s="4" t="s">
        <v>347</v>
      </c>
      <c r="B28" s="4">
        <v>1733.0</v>
      </c>
      <c r="C28" s="4">
        <v>1362.0</v>
      </c>
      <c r="D28" s="4" t="s">
        <v>348</v>
      </c>
      <c r="E28" s="4" t="s">
        <v>349</v>
      </c>
      <c r="F28" s="4" t="s">
        <v>121</v>
      </c>
      <c r="G28" s="4">
        <v>59.755523</v>
      </c>
      <c r="H28" s="4">
        <v>-154.902174</v>
      </c>
      <c r="I28" s="4">
        <v>55.91043</v>
      </c>
      <c r="J28" s="4">
        <v>-159.14614</v>
      </c>
      <c r="K28" s="4" t="s">
        <v>320</v>
      </c>
      <c r="L28" s="4" t="s">
        <v>350</v>
      </c>
      <c r="M28" s="4" t="s">
        <v>40</v>
      </c>
      <c r="N28" s="6" t="s">
        <v>351</v>
      </c>
      <c r="O28" s="4" t="s">
        <v>42</v>
      </c>
      <c r="P28" s="4">
        <v>59.75549</v>
      </c>
      <c r="Q28" s="4">
        <v>-154.9021</v>
      </c>
      <c r="R28" s="8" t="str">
        <f>HYPERLINK("https://www.google.com/maps?q=59.755523,-154.902174","map: stored")</f>
        <v>map: stored</v>
      </c>
      <c r="S28" s="8" t="str">
        <f>HYPERLINK("https://www.google.com/maps?q=55.910430,-159.146140","map: proposed")</f>
        <v>map: proposed</v>
      </c>
      <c r="T28" s="12"/>
      <c r="U28" s="12"/>
      <c r="V28" s="12"/>
      <c r="W28" s="12"/>
      <c r="X28" s="12"/>
    </row>
    <row r="29" ht="15.75" customHeight="1">
      <c r="A29" s="4" t="s">
        <v>357</v>
      </c>
      <c r="B29" s="4">
        <v>1752.0</v>
      </c>
      <c r="C29" s="4">
        <v>1395.0</v>
      </c>
      <c r="D29" s="4" t="s">
        <v>358</v>
      </c>
      <c r="E29" s="4" t="s">
        <v>359</v>
      </c>
      <c r="F29" s="4" t="s">
        <v>121</v>
      </c>
      <c r="G29" s="4">
        <v>70.483335</v>
      </c>
      <c r="H29" s="4">
        <v>-157.426035</v>
      </c>
      <c r="I29" s="4">
        <v>68.34952</v>
      </c>
      <c r="J29" s="4">
        <v>-166.73593</v>
      </c>
      <c r="K29" s="4" t="s">
        <v>259</v>
      </c>
      <c r="L29" s="4" t="s">
        <v>361</v>
      </c>
      <c r="M29" s="4" t="s">
        <v>40</v>
      </c>
      <c r="N29" s="6" t="s">
        <v>363</v>
      </c>
      <c r="O29" s="4" t="s">
        <v>223</v>
      </c>
      <c r="P29" s="4"/>
      <c r="Q29" s="4"/>
      <c r="R29" s="8" t="str">
        <f>HYPERLINK("https://www.google.com/maps?q=70.483335,-157.426035","map: stored")</f>
        <v>map: stored</v>
      </c>
      <c r="S29" s="8" t="str">
        <f>HYPERLINK("https://www.google.com/maps?q=68.349520,-166.735930","map: proposed")</f>
        <v>map: proposed</v>
      </c>
      <c r="T29" s="12"/>
      <c r="U29" s="12"/>
      <c r="V29" s="12"/>
      <c r="W29" s="12"/>
      <c r="X29" s="12"/>
    </row>
    <row r="30" ht="15.75" customHeight="1">
      <c r="A30" s="4" t="s">
        <v>366</v>
      </c>
      <c r="B30" s="4">
        <v>1761.0</v>
      </c>
      <c r="C30" s="4">
        <v>1406.0</v>
      </c>
      <c r="D30" s="4" t="s">
        <v>367</v>
      </c>
      <c r="E30" s="4" t="s">
        <v>368</v>
      </c>
      <c r="F30" s="4" t="s">
        <v>121</v>
      </c>
      <c r="G30" s="4">
        <v>70.129193</v>
      </c>
      <c r="H30" s="4">
        <v>-143.609572</v>
      </c>
      <c r="I30" s="4">
        <v>69.74182</v>
      </c>
      <c r="J30" s="4">
        <v>-163.01075</v>
      </c>
      <c r="K30" s="4" t="s">
        <v>369</v>
      </c>
      <c r="L30" s="4" t="s">
        <v>370</v>
      </c>
      <c r="M30" s="4" t="s">
        <v>40</v>
      </c>
      <c r="N30" s="6" t="s">
        <v>371</v>
      </c>
      <c r="O30" s="4" t="s">
        <v>255</v>
      </c>
      <c r="P30" s="4">
        <v>69.74353</v>
      </c>
      <c r="Q30" s="4">
        <v>-163.00189</v>
      </c>
      <c r="R30" s="8" t="str">
        <f>HYPERLINK("https://www.google.com/maps?q=70.129193,-143.609572","map: stored")</f>
        <v>map: stored</v>
      </c>
      <c r="S30" s="8" t="str">
        <f t="shared" ref="S30:S32" si="10">HYPERLINK("https://www.google.com/maps?q=69.741820,-163.010750","map: proposed")</f>
        <v>map: proposed</v>
      </c>
      <c r="T30" s="12"/>
      <c r="U30" s="12"/>
      <c r="V30" s="12"/>
      <c r="W30" s="12"/>
      <c r="X30" s="12"/>
    </row>
    <row r="31" ht="15.75" customHeight="1">
      <c r="A31" s="4" t="s">
        <v>374</v>
      </c>
      <c r="B31" s="4">
        <v>1762.0</v>
      </c>
      <c r="C31" s="4">
        <v>1407.0</v>
      </c>
      <c r="D31" s="4" t="s">
        <v>375</v>
      </c>
      <c r="E31" s="4" t="s">
        <v>368</v>
      </c>
      <c r="F31" s="4" t="s">
        <v>121</v>
      </c>
      <c r="G31" s="4">
        <v>70.482405</v>
      </c>
      <c r="H31" s="4">
        <v>-157.425305</v>
      </c>
      <c r="I31" s="4">
        <v>69.74182</v>
      </c>
      <c r="J31" s="4">
        <v>-163.01075</v>
      </c>
      <c r="K31" s="4" t="s">
        <v>343</v>
      </c>
      <c r="L31" s="4" t="s">
        <v>370</v>
      </c>
      <c r="M31" s="4" t="s">
        <v>40</v>
      </c>
      <c r="N31" s="6" t="s">
        <v>265</v>
      </c>
      <c r="O31" s="4" t="s">
        <v>42</v>
      </c>
      <c r="P31" s="4">
        <v>70.48248</v>
      </c>
      <c r="Q31" s="4">
        <v>-157.42529</v>
      </c>
      <c r="R31" s="8" t="str">
        <f>HYPERLINK("https://www.google.com/maps?q=70.482405,-157.425305","map: stored")</f>
        <v>map: stored</v>
      </c>
      <c r="S31" s="8" t="str">
        <f t="shared" si="10"/>
        <v>map: proposed</v>
      </c>
      <c r="T31" s="12"/>
      <c r="U31" s="12"/>
      <c r="V31" s="12"/>
      <c r="W31" s="12"/>
      <c r="X31" s="12"/>
    </row>
    <row r="32" ht="15.75" customHeight="1">
      <c r="A32" s="4" t="s">
        <v>378</v>
      </c>
      <c r="B32" s="4">
        <v>1763.0</v>
      </c>
      <c r="C32" s="4">
        <v>1408.0</v>
      </c>
      <c r="D32" s="4" t="s">
        <v>380</v>
      </c>
      <c r="E32" s="4" t="s">
        <v>368</v>
      </c>
      <c r="F32" s="4" t="s">
        <v>121</v>
      </c>
      <c r="G32" s="4">
        <v>70.483335</v>
      </c>
      <c r="H32" s="4">
        <v>-157.426035</v>
      </c>
      <c r="I32" s="4">
        <v>69.74182</v>
      </c>
      <c r="J32" s="4">
        <v>-163.01075</v>
      </c>
      <c r="K32" s="4" t="s">
        <v>259</v>
      </c>
      <c r="L32" s="4" t="s">
        <v>370</v>
      </c>
      <c r="M32" s="4" t="s">
        <v>40</v>
      </c>
      <c r="N32" s="6" t="s">
        <v>385</v>
      </c>
      <c r="O32" s="4" t="s">
        <v>223</v>
      </c>
      <c r="P32" s="4"/>
      <c r="Q32" s="4"/>
      <c r="R32" s="8" t="str">
        <f>HYPERLINK("https://www.google.com/maps?q=70.483335,-157.426035","map: stored")</f>
        <v>map: stored</v>
      </c>
      <c r="S32" s="8" t="str">
        <f t="shared" si="10"/>
        <v>map: proposed</v>
      </c>
      <c r="T32" s="12"/>
      <c r="U32" s="12"/>
      <c r="V32" s="12"/>
      <c r="W32" s="12"/>
      <c r="X32" s="12"/>
    </row>
    <row r="33" ht="15.75" customHeight="1">
      <c r="A33" s="4" t="s">
        <v>388</v>
      </c>
      <c r="B33" s="4">
        <v>1790.0</v>
      </c>
      <c r="C33" s="4">
        <v>1461.0</v>
      </c>
      <c r="D33" s="4" t="s">
        <v>389</v>
      </c>
      <c r="E33" s="4" t="s">
        <v>390</v>
      </c>
      <c r="F33" s="4" t="s">
        <v>121</v>
      </c>
      <c r="G33" s="4">
        <v>61.580835</v>
      </c>
      <c r="H33" s="4">
        <v>-159.551052</v>
      </c>
      <c r="I33" s="4">
        <v>61.7825</v>
      </c>
      <c r="J33" s="4">
        <v>-157.33684</v>
      </c>
      <c r="K33" s="4" t="s">
        <v>301</v>
      </c>
      <c r="L33" s="4" t="s">
        <v>391</v>
      </c>
      <c r="M33" s="4" t="s">
        <v>40</v>
      </c>
      <c r="N33" s="6" t="s">
        <v>393</v>
      </c>
      <c r="O33" s="4" t="s">
        <v>42</v>
      </c>
      <c r="P33" s="4">
        <v>61.57312</v>
      </c>
      <c r="Q33" s="4">
        <v>-159.24902</v>
      </c>
      <c r="R33" s="8" t="str">
        <f>HYPERLINK("https://www.google.com/maps?q=61.580835,-159.551052","map: stored")</f>
        <v>map: stored</v>
      </c>
      <c r="S33" s="8" t="str">
        <f>HYPERLINK("https://www.google.com/maps?q=61.782500,-157.336840","map: proposed")</f>
        <v>map: proposed</v>
      </c>
      <c r="T33" s="12"/>
      <c r="U33" s="12"/>
      <c r="V33" s="12"/>
      <c r="W33" s="12"/>
      <c r="X33" s="12"/>
    </row>
    <row r="34" ht="15.75" customHeight="1">
      <c r="A34" s="4" t="s">
        <v>398</v>
      </c>
      <c r="B34" s="4">
        <v>1811.0</v>
      </c>
      <c r="C34" s="4">
        <v>1499.0</v>
      </c>
      <c r="D34" s="4" t="s">
        <v>399</v>
      </c>
      <c r="E34" s="4" t="s">
        <v>401</v>
      </c>
      <c r="F34" s="4" t="s">
        <v>121</v>
      </c>
      <c r="G34" s="4">
        <v>65.332895</v>
      </c>
      <c r="H34" s="4">
        <v>-166.486424</v>
      </c>
      <c r="I34" s="4">
        <v>63.47875</v>
      </c>
      <c r="J34" s="4">
        <v>-162.03857</v>
      </c>
      <c r="K34" s="4" t="s">
        <v>403</v>
      </c>
      <c r="L34" s="4" t="s">
        <v>404</v>
      </c>
      <c r="M34" s="4" t="s">
        <v>40</v>
      </c>
      <c r="N34" s="6" t="s">
        <v>405</v>
      </c>
      <c r="O34" s="4" t="s">
        <v>42</v>
      </c>
      <c r="P34" s="4">
        <v>65.33289</v>
      </c>
      <c r="Q34" s="4">
        <v>-166.48639</v>
      </c>
      <c r="R34" s="8" t="str">
        <f t="shared" ref="R34:R35" si="11">HYPERLINK("https://www.google.com/maps?q=65.332895,-166.486424","map: stored")</f>
        <v>map: stored</v>
      </c>
      <c r="S34" s="8" t="str">
        <f t="shared" ref="S34:S35" si="12">HYPERLINK("https://www.google.com/maps?q=63.478750,-162.038570","map: proposed")</f>
        <v>map: proposed</v>
      </c>
      <c r="T34" s="12"/>
      <c r="U34" s="12"/>
      <c r="V34" s="12"/>
      <c r="W34" s="12"/>
      <c r="X34" s="12"/>
    </row>
    <row r="35" ht="15.75" customHeight="1">
      <c r="A35" s="4" t="s">
        <v>408</v>
      </c>
      <c r="B35" s="4">
        <v>1812.0</v>
      </c>
      <c r="C35" s="4">
        <v>1500.0</v>
      </c>
      <c r="D35" s="4" t="s">
        <v>409</v>
      </c>
      <c r="E35" s="4" t="s">
        <v>401</v>
      </c>
      <c r="F35" s="4" t="s">
        <v>121</v>
      </c>
      <c r="G35" s="4">
        <v>65.332895</v>
      </c>
      <c r="H35" s="4">
        <v>-166.486424</v>
      </c>
      <c r="I35" s="4">
        <v>63.47875</v>
      </c>
      <c r="J35" s="4">
        <v>-162.03857</v>
      </c>
      <c r="K35" s="4" t="s">
        <v>403</v>
      </c>
      <c r="L35" s="4" t="s">
        <v>404</v>
      </c>
      <c r="M35" s="4" t="s">
        <v>40</v>
      </c>
      <c r="N35" s="6" t="s">
        <v>405</v>
      </c>
      <c r="O35" s="4" t="s">
        <v>223</v>
      </c>
      <c r="P35" s="4"/>
      <c r="Q35" s="4"/>
      <c r="R35" s="8" t="str">
        <f t="shared" si="11"/>
        <v>map: stored</v>
      </c>
      <c r="S35" s="8" t="str">
        <f t="shared" si="12"/>
        <v>map: proposed</v>
      </c>
      <c r="T35" s="12"/>
      <c r="U35" s="12"/>
      <c r="V35" s="12"/>
      <c r="W35" s="12"/>
      <c r="X35" s="12"/>
    </row>
    <row r="36" ht="15.75" customHeight="1">
      <c r="A36" s="4" t="s">
        <v>412</v>
      </c>
      <c r="B36" s="4">
        <v>445.0</v>
      </c>
      <c r="C36" s="4">
        <v>1516.0</v>
      </c>
      <c r="D36" s="4" t="s">
        <v>413</v>
      </c>
      <c r="E36" s="4" t="s">
        <v>414</v>
      </c>
      <c r="F36" s="4" t="s">
        <v>121</v>
      </c>
      <c r="G36" s="4">
        <v>53.896944</v>
      </c>
      <c r="H36" s="4">
        <v>-166.54</v>
      </c>
      <c r="I36" s="4">
        <v>55.34522</v>
      </c>
      <c r="J36" s="4">
        <v>-160.48963</v>
      </c>
      <c r="K36" s="4" t="s">
        <v>415</v>
      </c>
      <c r="L36" s="4" t="s">
        <v>416</v>
      </c>
      <c r="M36" s="4" t="s">
        <v>40</v>
      </c>
      <c r="N36" s="6" t="s">
        <v>417</v>
      </c>
      <c r="O36" s="4" t="s">
        <v>42</v>
      </c>
      <c r="P36" s="4">
        <v>53.89709</v>
      </c>
      <c r="Q36" s="4">
        <v>-166.53998</v>
      </c>
      <c r="R36" s="8" t="str">
        <f>HYPERLINK("https://www.google.com/maps?q=53.896944,-166.540000","map: stored")</f>
        <v>map: stored</v>
      </c>
      <c r="S36" s="8" t="str">
        <f>HYPERLINK("https://www.google.com/maps?q=55.345220,-160.489630","map: proposed")</f>
        <v>map: proposed</v>
      </c>
      <c r="T36" s="12"/>
      <c r="U36" s="12"/>
      <c r="V36" s="12"/>
      <c r="W36" s="12"/>
      <c r="X36" s="12"/>
    </row>
    <row r="37" ht="15.75" customHeight="1">
      <c r="A37" s="4" t="s">
        <v>421</v>
      </c>
      <c r="B37" s="4">
        <v>1826.0</v>
      </c>
      <c r="C37" s="4">
        <v>1527.0</v>
      </c>
      <c r="D37" s="4" t="s">
        <v>423</v>
      </c>
      <c r="E37" s="4" t="s">
        <v>424</v>
      </c>
      <c r="F37" s="4" t="s">
        <v>121</v>
      </c>
      <c r="G37" s="4">
        <v>65.332895</v>
      </c>
      <c r="H37" s="4">
        <v>-166.486424</v>
      </c>
      <c r="I37" s="4">
        <v>63.69529</v>
      </c>
      <c r="J37" s="4">
        <v>-170.48242</v>
      </c>
      <c r="K37" s="4" t="s">
        <v>403</v>
      </c>
      <c r="L37" s="4" t="s">
        <v>425</v>
      </c>
      <c r="M37" s="4" t="s">
        <v>40</v>
      </c>
      <c r="N37" s="6" t="s">
        <v>426</v>
      </c>
      <c r="O37" s="4" t="s">
        <v>42</v>
      </c>
      <c r="P37" s="4">
        <v>65.33289</v>
      </c>
      <c r="Q37" s="4">
        <v>-166.48639</v>
      </c>
      <c r="R37" s="8" t="str">
        <f>HYPERLINK("https://www.google.com/maps?q=65.332895,-166.486424","map: stored")</f>
        <v>map: stored</v>
      </c>
      <c r="S37" s="8" t="str">
        <f t="shared" ref="S37:S38" si="13">HYPERLINK("https://www.google.com/maps?q=63.695290,-170.482420","map: proposed")</f>
        <v>map: proposed</v>
      </c>
      <c r="T37" s="12"/>
      <c r="U37" s="12"/>
      <c r="V37" s="12"/>
      <c r="W37" s="12"/>
      <c r="X37" s="12"/>
    </row>
    <row r="38" ht="15.75" customHeight="1">
      <c r="A38" s="4" t="s">
        <v>432</v>
      </c>
      <c r="B38" s="4">
        <v>1830.0</v>
      </c>
      <c r="C38" s="4">
        <v>1531.0</v>
      </c>
      <c r="D38" s="4" t="s">
        <v>434</v>
      </c>
      <c r="E38" s="4" t="s">
        <v>424</v>
      </c>
      <c r="F38" s="4" t="s">
        <v>121</v>
      </c>
      <c r="G38" s="4">
        <v>63.779113</v>
      </c>
      <c r="H38" s="4">
        <v>-171.734058</v>
      </c>
      <c r="I38" s="4">
        <v>63.69529</v>
      </c>
      <c r="J38" s="4">
        <v>-170.48242</v>
      </c>
      <c r="K38" s="4" t="s">
        <v>436</v>
      </c>
      <c r="L38" s="4" t="s">
        <v>425</v>
      </c>
      <c r="M38" s="4" t="s">
        <v>40</v>
      </c>
      <c r="N38" s="6" t="s">
        <v>437</v>
      </c>
      <c r="O38" s="4" t="s">
        <v>42</v>
      </c>
      <c r="P38" s="4">
        <v>63.77911</v>
      </c>
      <c r="Q38" s="4">
        <v>-171.73401</v>
      </c>
      <c r="R38" s="8" t="str">
        <f>HYPERLINK("https://www.google.com/maps?q=63.779113,-171.734058","map: stored")</f>
        <v>map: stored</v>
      </c>
      <c r="S38" s="8" t="str">
        <f t="shared" si="13"/>
        <v>map: proposed</v>
      </c>
      <c r="T38" s="12"/>
      <c r="U38" s="12"/>
      <c r="V38" s="12"/>
      <c r="W38" s="12"/>
      <c r="X38" s="12"/>
    </row>
    <row r="39" ht="15.75" customHeight="1">
      <c r="A39" s="4" t="s">
        <v>440</v>
      </c>
      <c r="B39" s="4">
        <v>1834.0</v>
      </c>
      <c r="C39" s="4">
        <v>1545.0</v>
      </c>
      <c r="D39" s="4" t="s">
        <v>441</v>
      </c>
      <c r="E39" s="4" t="s">
        <v>442</v>
      </c>
      <c r="F39" s="4" t="s">
        <v>121</v>
      </c>
      <c r="G39" s="4">
        <v>66.973926</v>
      </c>
      <c r="H39" s="4">
        <v>-160.429116</v>
      </c>
      <c r="I39" s="4">
        <v>66.60506</v>
      </c>
      <c r="J39" s="4">
        <v>-160.01359</v>
      </c>
      <c r="K39" s="4" t="s">
        <v>443</v>
      </c>
      <c r="L39" s="4" t="s">
        <v>444</v>
      </c>
      <c r="M39" s="4" t="s">
        <v>40</v>
      </c>
      <c r="N39" s="6" t="s">
        <v>325</v>
      </c>
      <c r="O39" s="4" t="s">
        <v>42</v>
      </c>
      <c r="P39" s="4">
        <v>66.97388</v>
      </c>
      <c r="Q39" s="4">
        <v>-160.42908</v>
      </c>
      <c r="R39" s="8" t="str">
        <f>HYPERLINK("https://www.google.com/maps?q=66.973926,-160.429116","map: stored")</f>
        <v>map: stored</v>
      </c>
      <c r="S39" s="8" t="str">
        <f t="shared" ref="S39:S40" si="14">HYPERLINK("https://www.google.com/maps?q=66.605060,-160.013590","map: proposed")</f>
        <v>map: proposed</v>
      </c>
      <c r="T39" s="12"/>
      <c r="U39" s="12"/>
      <c r="V39" s="12"/>
      <c r="W39" s="12"/>
      <c r="X39" s="12"/>
    </row>
    <row r="40" ht="15.75" customHeight="1">
      <c r="A40" s="4" t="s">
        <v>447</v>
      </c>
      <c r="B40" s="4">
        <v>1838.0</v>
      </c>
      <c r="C40" s="4">
        <v>1549.0</v>
      </c>
      <c r="D40" s="4" t="s">
        <v>448</v>
      </c>
      <c r="E40" s="4" t="s">
        <v>442</v>
      </c>
      <c r="F40" s="4" t="s">
        <v>121</v>
      </c>
      <c r="G40" s="4">
        <v>65.980507</v>
      </c>
      <c r="H40" s="4">
        <v>-161.138453</v>
      </c>
      <c r="I40" s="4">
        <v>66.60506</v>
      </c>
      <c r="J40" s="4">
        <v>-160.01359</v>
      </c>
      <c r="K40" s="4" t="s">
        <v>275</v>
      </c>
      <c r="L40" s="4" t="s">
        <v>444</v>
      </c>
      <c r="M40" s="4" t="s">
        <v>40</v>
      </c>
      <c r="N40" s="6" t="s">
        <v>325</v>
      </c>
      <c r="O40" s="4" t="s">
        <v>42</v>
      </c>
      <c r="P40" s="4">
        <v>65.98053</v>
      </c>
      <c r="Q40" s="4">
        <v>-161.13843</v>
      </c>
      <c r="R40" s="8" t="str">
        <f>HYPERLINK("https://www.google.com/maps?q=65.980507,-161.138453","map: stored")</f>
        <v>map: stored</v>
      </c>
      <c r="S40" s="8" t="str">
        <f t="shared" si="14"/>
        <v>map: proposed</v>
      </c>
      <c r="T40" s="12"/>
      <c r="U40" s="12"/>
      <c r="V40" s="12"/>
      <c r="W40" s="12"/>
      <c r="X40" s="12"/>
    </row>
    <row r="41" ht="15.75" customHeight="1">
      <c r="A41" s="4" t="s">
        <v>451</v>
      </c>
      <c r="B41" s="4">
        <v>1855.0</v>
      </c>
      <c r="C41" s="4">
        <v>1639.0</v>
      </c>
      <c r="D41" s="4" t="s">
        <v>452</v>
      </c>
      <c r="E41" s="4" t="s">
        <v>453</v>
      </c>
      <c r="F41" s="4" t="s">
        <v>121</v>
      </c>
      <c r="G41" s="4">
        <v>65.332712</v>
      </c>
      <c r="H41" s="4">
        <v>-166.494224</v>
      </c>
      <c r="I41" s="4">
        <v>63.51967</v>
      </c>
      <c r="J41" s="4">
        <v>-162.28567</v>
      </c>
      <c r="K41" s="4" t="s">
        <v>231</v>
      </c>
      <c r="L41" s="4" t="s">
        <v>454</v>
      </c>
      <c r="M41" s="4" t="s">
        <v>40</v>
      </c>
      <c r="N41" s="6" t="s">
        <v>455</v>
      </c>
      <c r="O41" s="4" t="s">
        <v>42</v>
      </c>
      <c r="P41" s="4">
        <v>65.3327</v>
      </c>
      <c r="Q41" s="4">
        <v>-166.4942</v>
      </c>
      <c r="R41" s="8" t="str">
        <f>HYPERLINK("https://www.google.com/maps?q=65.332712,-166.494224","map: stored")</f>
        <v>map: stored</v>
      </c>
      <c r="S41" s="8" t="str">
        <f>HYPERLINK("https://www.google.com/maps?q=63.519670,-162.285670","map: proposed")</f>
        <v>map: proposed</v>
      </c>
      <c r="T41" s="12"/>
      <c r="U41" s="12"/>
      <c r="V41" s="12"/>
      <c r="W41" s="12"/>
      <c r="X41" s="12"/>
    </row>
    <row r="42" ht="15.75" customHeight="1">
      <c r="A42" s="4" t="s">
        <v>458</v>
      </c>
      <c r="B42" s="4">
        <v>1893.0</v>
      </c>
      <c r="C42" s="4">
        <v>1713.0</v>
      </c>
      <c r="D42" s="4" t="s">
        <v>459</v>
      </c>
      <c r="E42" s="4" t="s">
        <v>460</v>
      </c>
      <c r="F42" s="4" t="s">
        <v>121</v>
      </c>
      <c r="G42" s="4">
        <v>60.81077</v>
      </c>
      <c r="H42" s="4">
        <v>-161.422558</v>
      </c>
      <c r="I42" s="4">
        <v>60.52867</v>
      </c>
      <c r="J42" s="4">
        <v>-165.10579</v>
      </c>
      <c r="K42" s="4" t="s">
        <v>307</v>
      </c>
      <c r="L42" s="4" t="s">
        <v>464</v>
      </c>
      <c r="M42" s="4" t="s">
        <v>40</v>
      </c>
      <c r="N42" s="6" t="s">
        <v>465</v>
      </c>
      <c r="O42" s="4" t="s">
        <v>42</v>
      </c>
      <c r="P42" s="4">
        <v>60.81091</v>
      </c>
      <c r="Q42" s="4">
        <v>-161.42249</v>
      </c>
      <c r="R42" s="8" t="str">
        <f>HYPERLINK("https://www.google.com/maps?q=60.810770,-161.422558","map: stored")</f>
        <v>map: stored</v>
      </c>
      <c r="S42" s="8" t="str">
        <f t="shared" ref="S42:S43" si="15">HYPERLINK("https://www.google.com/maps?q=60.528670,-165.105790","map: proposed")</f>
        <v>map: proposed</v>
      </c>
      <c r="T42" s="12"/>
      <c r="U42" s="12"/>
      <c r="V42" s="12"/>
      <c r="W42" s="12"/>
      <c r="X42" s="12"/>
    </row>
    <row r="43" ht="15.75" customHeight="1">
      <c r="A43" s="4" t="s">
        <v>473</v>
      </c>
      <c r="B43" s="4">
        <v>1897.0</v>
      </c>
      <c r="C43" s="4">
        <v>1717.0</v>
      </c>
      <c r="D43" s="4" t="s">
        <v>474</v>
      </c>
      <c r="E43" s="4" t="s">
        <v>460</v>
      </c>
      <c r="F43" s="4" t="s">
        <v>121</v>
      </c>
      <c r="G43" s="4">
        <v>65.332712</v>
      </c>
      <c r="H43" s="4">
        <v>-166.494224</v>
      </c>
      <c r="I43" s="4">
        <v>60.52867</v>
      </c>
      <c r="J43" s="4">
        <v>-165.10579</v>
      </c>
      <c r="K43" s="4" t="s">
        <v>231</v>
      </c>
      <c r="L43" s="4" t="s">
        <v>464</v>
      </c>
      <c r="M43" s="4" t="s">
        <v>40</v>
      </c>
      <c r="N43" s="6" t="s">
        <v>475</v>
      </c>
      <c r="O43" s="4" t="s">
        <v>42</v>
      </c>
      <c r="P43" s="4">
        <v>65.3327</v>
      </c>
      <c r="Q43" s="4">
        <v>-166.4942</v>
      </c>
      <c r="R43" s="8" t="str">
        <f>HYPERLINK("https://www.google.com/maps?q=65.332712,-166.494224","map: stored")</f>
        <v>map: stored</v>
      </c>
      <c r="S43" s="8" t="str">
        <f t="shared" si="15"/>
        <v>map: proposed</v>
      </c>
      <c r="T43" s="12"/>
      <c r="U43" s="12"/>
      <c r="V43" s="12"/>
      <c r="W43" s="12"/>
      <c r="X43" s="12"/>
    </row>
    <row r="44" ht="15.75" customHeight="1">
      <c r="A44" s="4" t="s">
        <v>478</v>
      </c>
      <c r="B44" s="4">
        <v>1906.0</v>
      </c>
      <c r="C44" s="4">
        <v>1731.0</v>
      </c>
      <c r="D44" s="4" t="s">
        <v>479</v>
      </c>
      <c r="E44" s="4" t="s">
        <v>480</v>
      </c>
      <c r="F44" s="4" t="s">
        <v>121</v>
      </c>
      <c r="G44" s="4">
        <v>60.856858</v>
      </c>
      <c r="H44" s="4">
        <v>-162.276528</v>
      </c>
      <c r="I44" s="4">
        <v>60.34307</v>
      </c>
      <c r="J44" s="4">
        <v>-162.66696</v>
      </c>
      <c r="K44" s="4" t="s">
        <v>218</v>
      </c>
      <c r="L44" s="4" t="s">
        <v>481</v>
      </c>
      <c r="M44" s="4" t="s">
        <v>40</v>
      </c>
      <c r="N44" s="6" t="s">
        <v>483</v>
      </c>
      <c r="O44" s="4" t="s">
        <v>42</v>
      </c>
      <c r="P44" s="4">
        <v>60.85687</v>
      </c>
      <c r="Q44" s="4">
        <v>-162.27649</v>
      </c>
      <c r="R44" s="8" t="str">
        <f t="shared" ref="R44:R46" si="16">HYPERLINK("https://www.google.com/maps?q=60.856858,-162.276528","map: stored")</f>
        <v>map: stored</v>
      </c>
      <c r="S44" s="8" t="str">
        <f>HYPERLINK("https://www.google.com/maps?q=60.343070,-162.666960","map: proposed")</f>
        <v>map: proposed</v>
      </c>
      <c r="T44" s="12"/>
      <c r="U44" s="12"/>
      <c r="V44" s="12"/>
      <c r="W44" s="12"/>
      <c r="X44" s="12"/>
    </row>
    <row r="45" ht="15.75" customHeight="1">
      <c r="A45" s="4" t="s">
        <v>487</v>
      </c>
      <c r="B45" s="4">
        <v>1907.0</v>
      </c>
      <c r="C45" s="4">
        <v>1733.0</v>
      </c>
      <c r="D45" s="4" t="s">
        <v>488</v>
      </c>
      <c r="E45" s="4" t="s">
        <v>489</v>
      </c>
      <c r="F45" s="4" t="s">
        <v>121</v>
      </c>
      <c r="G45" s="4">
        <v>60.856858</v>
      </c>
      <c r="H45" s="4">
        <v>-162.276528</v>
      </c>
      <c r="I45" s="4">
        <v>60.5861</v>
      </c>
      <c r="J45" s="4">
        <v>-165.25553</v>
      </c>
      <c r="K45" s="4" t="s">
        <v>218</v>
      </c>
      <c r="L45" s="4" t="s">
        <v>490</v>
      </c>
      <c r="M45" s="4" t="s">
        <v>40</v>
      </c>
      <c r="N45" s="6" t="s">
        <v>491</v>
      </c>
      <c r="O45" s="4" t="s">
        <v>42</v>
      </c>
      <c r="P45" s="4">
        <v>60.85687</v>
      </c>
      <c r="Q45" s="4">
        <v>-162.27649</v>
      </c>
      <c r="R45" s="8" t="str">
        <f t="shared" si="16"/>
        <v>map: stored</v>
      </c>
      <c r="S45" s="8" t="str">
        <f t="shared" ref="S45:S47" si="17">HYPERLINK("https://www.google.com/maps?q=60.586100,-165.255530","map: proposed")</f>
        <v>map: proposed</v>
      </c>
      <c r="T45" s="12"/>
      <c r="U45" s="12"/>
      <c r="V45" s="12"/>
      <c r="W45" s="12"/>
      <c r="X45" s="12"/>
    </row>
    <row r="46" ht="15.75" customHeight="1">
      <c r="A46" s="4" t="s">
        <v>496</v>
      </c>
      <c r="B46" s="4">
        <v>1910.0</v>
      </c>
      <c r="C46" s="4">
        <v>1736.0</v>
      </c>
      <c r="D46" s="4" t="s">
        <v>497</v>
      </c>
      <c r="E46" s="4" t="s">
        <v>489</v>
      </c>
      <c r="F46" s="4" t="s">
        <v>121</v>
      </c>
      <c r="G46" s="4">
        <v>60.856858</v>
      </c>
      <c r="H46" s="4">
        <v>-162.276528</v>
      </c>
      <c r="I46" s="4">
        <v>60.5861</v>
      </c>
      <c r="J46" s="4">
        <v>-165.25553</v>
      </c>
      <c r="K46" s="4" t="s">
        <v>218</v>
      </c>
      <c r="L46" s="4" t="s">
        <v>490</v>
      </c>
      <c r="M46" s="4" t="s">
        <v>40</v>
      </c>
      <c r="N46" s="6" t="s">
        <v>491</v>
      </c>
      <c r="O46" s="4" t="s">
        <v>223</v>
      </c>
      <c r="P46" s="4"/>
      <c r="Q46" s="4"/>
      <c r="R46" s="8" t="str">
        <f t="shared" si="16"/>
        <v>map: stored</v>
      </c>
      <c r="S46" s="8" t="str">
        <f t="shared" si="17"/>
        <v>map: proposed</v>
      </c>
      <c r="T46" s="12"/>
      <c r="U46" s="12"/>
      <c r="V46" s="12"/>
      <c r="W46" s="12"/>
      <c r="X46" s="12"/>
    </row>
    <row r="47" ht="15.75" customHeight="1">
      <c r="A47" s="4" t="s">
        <v>500</v>
      </c>
      <c r="B47" s="4">
        <v>1913.0</v>
      </c>
      <c r="C47" s="4">
        <v>1739.0</v>
      </c>
      <c r="D47" s="4" t="s">
        <v>501</v>
      </c>
      <c r="E47" s="4" t="s">
        <v>489</v>
      </c>
      <c r="F47" s="4" t="s">
        <v>121</v>
      </c>
      <c r="G47" s="4">
        <v>65.332712</v>
      </c>
      <c r="H47" s="4">
        <v>-166.494224</v>
      </c>
      <c r="I47" s="4">
        <v>60.5861</v>
      </c>
      <c r="J47" s="4">
        <v>-165.25553</v>
      </c>
      <c r="K47" s="4" t="s">
        <v>231</v>
      </c>
      <c r="L47" s="4" t="s">
        <v>490</v>
      </c>
      <c r="M47" s="4" t="s">
        <v>40</v>
      </c>
      <c r="N47" s="6" t="s">
        <v>502</v>
      </c>
      <c r="O47" s="4" t="s">
        <v>42</v>
      </c>
      <c r="P47" s="4">
        <v>65.3327</v>
      </c>
      <c r="Q47" s="4">
        <v>-166.4942</v>
      </c>
      <c r="R47" s="8" t="str">
        <f>HYPERLINK("https://www.google.com/maps?q=65.332712,-166.494224","map: stored")</f>
        <v>map: stored</v>
      </c>
      <c r="S47" s="8" t="str">
        <f t="shared" si="17"/>
        <v>map: proposed</v>
      </c>
      <c r="T47" s="12"/>
      <c r="U47" s="12"/>
      <c r="V47" s="12"/>
      <c r="W47" s="12"/>
      <c r="X47" s="12"/>
    </row>
    <row r="48" ht="15.75" customHeight="1">
      <c r="A48" s="4" t="s">
        <v>505</v>
      </c>
      <c r="B48" s="4">
        <v>1923.0</v>
      </c>
      <c r="C48" s="4">
        <v>1771.0</v>
      </c>
      <c r="D48" s="4" t="s">
        <v>506</v>
      </c>
      <c r="E48" s="4" t="s">
        <v>471</v>
      </c>
      <c r="F48" s="4" t="s">
        <v>121</v>
      </c>
      <c r="G48" s="4">
        <v>61.580835</v>
      </c>
      <c r="H48" s="4">
        <v>-159.551052</v>
      </c>
      <c r="I48" s="4">
        <v>61.53861</v>
      </c>
      <c r="J48" s="4">
        <v>-160.3171</v>
      </c>
      <c r="K48" s="4" t="s">
        <v>301</v>
      </c>
      <c r="L48" s="4" t="s">
        <v>507</v>
      </c>
      <c r="M48" s="4" t="s">
        <v>40</v>
      </c>
      <c r="N48" s="6" t="s">
        <v>508</v>
      </c>
      <c r="O48" s="4" t="s">
        <v>42</v>
      </c>
      <c r="P48" s="4">
        <v>61.57312</v>
      </c>
      <c r="Q48" s="4">
        <v>-159.24902</v>
      </c>
      <c r="R48" s="8" t="str">
        <f t="shared" ref="R48:R49" si="18">HYPERLINK("https://www.google.com/maps?q=61.580835,-159.551052","map: stored")</f>
        <v>map: stored</v>
      </c>
      <c r="S48" s="8" t="str">
        <f t="shared" ref="S48:S49" si="19">HYPERLINK("https://www.google.com/maps?q=61.538610,-160.317100","map: proposed")</f>
        <v>map: proposed</v>
      </c>
      <c r="T48" s="12"/>
      <c r="U48" s="12"/>
      <c r="V48" s="12"/>
      <c r="W48" s="12"/>
      <c r="X48" s="12"/>
    </row>
    <row r="49" ht="15.75" customHeight="1">
      <c r="A49" s="4" t="s">
        <v>511</v>
      </c>
      <c r="B49" s="4">
        <v>1924.0</v>
      </c>
      <c r="C49" s="4">
        <v>1772.0</v>
      </c>
      <c r="D49" s="4" t="s">
        <v>512</v>
      </c>
      <c r="E49" s="4" t="s">
        <v>471</v>
      </c>
      <c r="F49" s="4" t="s">
        <v>121</v>
      </c>
      <c r="G49" s="4">
        <v>61.580835</v>
      </c>
      <c r="H49" s="4">
        <v>-159.551052</v>
      </c>
      <c r="I49" s="4">
        <v>61.53861</v>
      </c>
      <c r="J49" s="4">
        <v>-160.3171</v>
      </c>
      <c r="K49" s="4" t="s">
        <v>301</v>
      </c>
      <c r="L49" s="4" t="s">
        <v>507</v>
      </c>
      <c r="M49" s="4" t="s">
        <v>40</v>
      </c>
      <c r="N49" s="6" t="s">
        <v>508</v>
      </c>
      <c r="O49" s="4" t="s">
        <v>223</v>
      </c>
      <c r="P49" s="4"/>
      <c r="Q49" s="4"/>
      <c r="R49" s="8" t="str">
        <f t="shared" si="18"/>
        <v>map: stored</v>
      </c>
      <c r="S49" s="8" t="str">
        <f t="shared" si="19"/>
        <v>map: proposed</v>
      </c>
      <c r="T49" s="12"/>
      <c r="U49" s="12"/>
      <c r="V49" s="12"/>
      <c r="W49" s="12"/>
      <c r="X49" s="12"/>
    </row>
    <row r="50" ht="15.75" customHeight="1">
      <c r="A50" s="4" t="s">
        <v>513</v>
      </c>
      <c r="B50" s="4">
        <v>1937.0</v>
      </c>
      <c r="C50" s="4">
        <v>1808.0</v>
      </c>
      <c r="D50" s="4" t="s">
        <v>514</v>
      </c>
      <c r="E50" s="4" t="s">
        <v>515</v>
      </c>
      <c r="F50" s="4" t="s">
        <v>121</v>
      </c>
      <c r="G50" s="4">
        <v>70.12872</v>
      </c>
      <c r="H50" s="4">
        <v>-143.622074</v>
      </c>
      <c r="I50" s="4">
        <v>70.63766</v>
      </c>
      <c r="J50" s="4">
        <v>-160.03223</v>
      </c>
      <c r="K50" s="4" t="s">
        <v>516</v>
      </c>
      <c r="L50" s="4" t="s">
        <v>517</v>
      </c>
      <c r="M50" s="4" t="s">
        <v>40</v>
      </c>
      <c r="N50" s="6" t="s">
        <v>371</v>
      </c>
      <c r="O50" s="4" t="s">
        <v>42</v>
      </c>
      <c r="P50" s="4">
        <v>70.12872</v>
      </c>
      <c r="Q50" s="4">
        <v>-143.62201</v>
      </c>
      <c r="R50" s="8" t="str">
        <f>HYPERLINK("https://www.google.com/maps?q=70.128720,-143.622074","map: stored")</f>
        <v>map: stored</v>
      </c>
      <c r="S50" s="8" t="str">
        <f>HYPERLINK("https://www.google.com/maps?q=70.637660,-160.032230","map: proposed")</f>
        <v>map: proposed</v>
      </c>
      <c r="T50" s="12"/>
      <c r="U50" s="12"/>
      <c r="V50" s="12"/>
      <c r="W50" s="12"/>
      <c r="X50" s="12"/>
    </row>
    <row r="51" ht="15.75" customHeight="1">
      <c r="A51" s="4" t="s">
        <v>518</v>
      </c>
      <c r="B51" s="4">
        <v>1940.0</v>
      </c>
      <c r="C51" s="4">
        <v>1813.0</v>
      </c>
      <c r="D51" s="4" t="s">
        <v>519</v>
      </c>
      <c r="E51" s="4" t="s">
        <v>520</v>
      </c>
      <c r="F51" s="4" t="s">
        <v>121</v>
      </c>
      <c r="G51" s="4">
        <v>67.087671</v>
      </c>
      <c r="H51" s="4">
        <v>-157.856722</v>
      </c>
      <c r="I51" s="4">
        <v>65.60616</v>
      </c>
      <c r="J51" s="4">
        <v>-168.08752</v>
      </c>
      <c r="K51" s="4" t="s">
        <v>246</v>
      </c>
      <c r="L51" s="4" t="s">
        <v>521</v>
      </c>
      <c r="M51" s="4" t="s">
        <v>40</v>
      </c>
      <c r="N51" s="6" t="s">
        <v>522</v>
      </c>
      <c r="O51" s="4" t="s">
        <v>42</v>
      </c>
      <c r="P51" s="4">
        <v>67.08771</v>
      </c>
      <c r="Q51" s="4">
        <v>-157.85669</v>
      </c>
      <c r="R51" s="8" t="str">
        <f>HYPERLINK("https://www.google.com/maps?q=67.087671,-157.856722","map: stored")</f>
        <v>map: stored</v>
      </c>
      <c r="S51" s="8" t="str">
        <f>HYPERLINK("https://www.google.com/maps?q=65.606160,-168.087520","map: proposed")</f>
        <v>map: proposed</v>
      </c>
      <c r="T51" s="12"/>
      <c r="U51" s="12"/>
      <c r="V51" s="12"/>
      <c r="W51" s="12"/>
      <c r="X51" s="12"/>
    </row>
    <row r="52" ht="15.75" customHeight="1">
      <c r="A52" s="4" t="s">
        <v>523</v>
      </c>
      <c r="B52" s="4">
        <v>1942.0</v>
      </c>
      <c r="C52" s="4">
        <v>1827.0</v>
      </c>
      <c r="D52" s="4" t="s">
        <v>524</v>
      </c>
      <c r="E52" s="4" t="s">
        <v>525</v>
      </c>
      <c r="F52" s="4" t="s">
        <v>121</v>
      </c>
      <c r="G52" s="4">
        <v>63.515687</v>
      </c>
      <c r="H52" s="4">
        <v>-162.285557</v>
      </c>
      <c r="I52" s="4">
        <v>64.68376</v>
      </c>
      <c r="J52" s="4">
        <v>-163.41349</v>
      </c>
      <c r="K52" s="4" t="s">
        <v>526</v>
      </c>
      <c r="L52" s="4" t="s">
        <v>527</v>
      </c>
      <c r="M52" s="4" t="s">
        <v>40</v>
      </c>
      <c r="N52" s="6" t="s">
        <v>528</v>
      </c>
      <c r="O52" s="4" t="s">
        <v>42</v>
      </c>
      <c r="P52" s="4">
        <v>63.51569</v>
      </c>
      <c r="Q52" s="4">
        <v>-162.28558</v>
      </c>
      <c r="R52" s="8" t="str">
        <f>HYPERLINK("https://www.google.com/maps?q=63.515687,-162.285557","map: stored")</f>
        <v>map: stored</v>
      </c>
      <c r="S52" s="8" t="str">
        <f>HYPERLINK("https://www.google.com/maps?q=64.683760,-163.413490","map: proposed")</f>
        <v>map: proposed</v>
      </c>
      <c r="T52" s="12"/>
      <c r="U52" s="12"/>
      <c r="V52" s="12"/>
      <c r="W52" s="12"/>
      <c r="X52" s="12"/>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52"/>
  <dataValidations>
    <dataValidation type="list" allowBlank="1" sqref="T2:T52">
      <formula1>"approve,approve with my value,reject,ask AEA,skip for now"</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3" width="14.0"/>
    <col customWidth="1" min="4" max="4" width="40.0"/>
    <col customWidth="1" min="5" max="10" width="14.0"/>
    <col customWidth="1" min="11" max="12" width="22.0"/>
    <col customWidth="1" min="13" max="13" width="14.0"/>
    <col customWidth="1" min="14" max="14" width="70.0"/>
    <col customWidth="1" min="15" max="15" width="26.0"/>
    <col customWidth="1" min="16" max="20" width="14.0"/>
    <col customWidth="1" min="21" max="21" width="22.0"/>
    <col customWidth="1" min="22" max="22" width="40.0"/>
    <col customWidth="1" min="23" max="24" width="14.0"/>
    <col customWidth="1" min="25" max="26" width="8.71"/>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19</v>
      </c>
      <c r="R1" s="2" t="s">
        <v>21</v>
      </c>
      <c r="S1" s="2" t="s">
        <v>23</v>
      </c>
      <c r="T1" s="2" t="s">
        <v>25</v>
      </c>
      <c r="U1" s="2" t="s">
        <v>26</v>
      </c>
      <c r="V1" s="2" t="s">
        <v>28</v>
      </c>
      <c r="W1" s="2" t="s">
        <v>29</v>
      </c>
      <c r="X1" s="2" t="s">
        <v>31</v>
      </c>
    </row>
    <row r="2">
      <c r="A2" s="4" t="s">
        <v>335</v>
      </c>
      <c r="B2" s="4">
        <v>110.0</v>
      </c>
      <c r="C2" s="4">
        <v>433.0</v>
      </c>
      <c r="D2" s="4" t="s">
        <v>336</v>
      </c>
      <c r="E2" s="4" t="s">
        <v>337</v>
      </c>
      <c r="F2" s="4" t="s">
        <v>137</v>
      </c>
      <c r="G2" s="4">
        <v>58.836247</v>
      </c>
      <c r="H2" s="4">
        <v>-158.544473</v>
      </c>
      <c r="I2" s="4"/>
      <c r="J2" s="4"/>
      <c r="K2" s="4" t="s">
        <v>337</v>
      </c>
      <c r="L2" s="4" t="s">
        <v>338</v>
      </c>
      <c r="M2" s="4" t="s">
        <v>60</v>
      </c>
      <c r="N2" s="6" t="s">
        <v>340</v>
      </c>
      <c r="O2" s="4" t="s">
        <v>42</v>
      </c>
      <c r="P2" s="4">
        <v>58.8363</v>
      </c>
      <c r="Q2" s="4">
        <v>-158.54449</v>
      </c>
      <c r="R2" s="8" t="str">
        <f>HYPERLINK("https://www.google.com/maps?q=58.836247,-158.544473","map: stored")</f>
        <v>map: stored</v>
      </c>
      <c r="S2" s="5" t="s">
        <v>140</v>
      </c>
      <c r="T2" s="9" t="s">
        <v>20</v>
      </c>
      <c r="U2" s="12"/>
      <c r="V2" s="12"/>
      <c r="W2" s="12"/>
      <c r="X2" s="12"/>
    </row>
    <row r="3">
      <c r="A3" s="4" t="s">
        <v>345</v>
      </c>
      <c r="B3" s="4">
        <v>402.0</v>
      </c>
      <c r="C3" s="4">
        <v>434.0</v>
      </c>
      <c r="D3" s="4" t="s">
        <v>346</v>
      </c>
      <c r="E3" s="4" t="s">
        <v>337</v>
      </c>
      <c r="F3" s="4" t="s">
        <v>137</v>
      </c>
      <c r="G3" s="4">
        <v>58.8369</v>
      </c>
      <c r="H3" s="4">
        <v>-158.5293</v>
      </c>
      <c r="I3" s="4"/>
      <c r="J3" s="4"/>
      <c r="K3" s="4" t="s">
        <v>337</v>
      </c>
      <c r="L3" s="4" t="s">
        <v>338</v>
      </c>
      <c r="M3" s="4" t="s">
        <v>60</v>
      </c>
      <c r="N3" s="6" t="s">
        <v>340</v>
      </c>
      <c r="O3" s="4" t="s">
        <v>42</v>
      </c>
      <c r="P3" s="4">
        <v>58.83691</v>
      </c>
      <c r="Q3" s="4">
        <v>-158.5293</v>
      </c>
      <c r="R3" s="8" t="str">
        <f>HYPERLINK("https://www.google.com/maps?q=58.836900,-158.529300","map: stored")</f>
        <v>map: stored</v>
      </c>
      <c r="S3" s="5" t="s">
        <v>140</v>
      </c>
      <c r="T3" s="9" t="s">
        <v>20</v>
      </c>
      <c r="U3" s="12"/>
      <c r="V3" s="12"/>
      <c r="W3" s="12"/>
      <c r="X3" s="12"/>
    </row>
    <row r="4">
      <c r="A4" s="4" t="s">
        <v>352</v>
      </c>
      <c r="B4" s="4">
        <v>355.0</v>
      </c>
      <c r="C4" s="4">
        <v>1483.0</v>
      </c>
      <c r="D4" s="4" t="s">
        <v>353</v>
      </c>
      <c r="E4" s="4" t="s">
        <v>354</v>
      </c>
      <c r="F4" s="4" t="s">
        <v>137</v>
      </c>
      <c r="G4" s="4">
        <v>62.057547</v>
      </c>
      <c r="H4" s="4">
        <v>-163.294789</v>
      </c>
      <c r="I4" s="4"/>
      <c r="J4" s="4"/>
      <c r="K4" s="4" t="s">
        <v>354</v>
      </c>
      <c r="L4" s="4" t="s">
        <v>355</v>
      </c>
      <c r="M4" s="4" t="s">
        <v>60</v>
      </c>
      <c r="N4" s="6" t="s">
        <v>356</v>
      </c>
      <c r="O4" s="4" t="s">
        <v>42</v>
      </c>
      <c r="P4" s="4">
        <v>62.05768</v>
      </c>
      <c r="Q4" s="4">
        <v>-163.2948</v>
      </c>
      <c r="R4" s="8" t="str">
        <f>HYPERLINK("https://www.google.com/maps?q=62.057547,-163.294789","map: stored")</f>
        <v>map: stored</v>
      </c>
      <c r="S4" s="5" t="s">
        <v>140</v>
      </c>
      <c r="T4" s="9" t="s">
        <v>20</v>
      </c>
      <c r="U4" s="12"/>
      <c r="V4" s="12"/>
      <c r="W4" s="12"/>
      <c r="X4" s="12"/>
    </row>
    <row r="5">
      <c r="A5" s="4" t="s">
        <v>360</v>
      </c>
      <c r="B5" s="4">
        <v>763.0</v>
      </c>
      <c r="C5" s="4">
        <v>1484.0</v>
      </c>
      <c r="D5" s="4" t="s">
        <v>362</v>
      </c>
      <c r="E5" s="4" t="s">
        <v>354</v>
      </c>
      <c r="F5" s="4" t="s">
        <v>137</v>
      </c>
      <c r="G5" s="4">
        <v>62.051516</v>
      </c>
      <c r="H5" s="4">
        <v>-163.175166</v>
      </c>
      <c r="I5" s="4"/>
      <c r="J5" s="4"/>
      <c r="K5" s="4" t="s">
        <v>354</v>
      </c>
      <c r="L5" s="4" t="s">
        <v>355</v>
      </c>
      <c r="M5" s="4" t="s">
        <v>60</v>
      </c>
      <c r="N5" s="6" t="s">
        <v>356</v>
      </c>
      <c r="O5" s="4" t="s">
        <v>42</v>
      </c>
      <c r="P5" s="4">
        <v>62.05151</v>
      </c>
      <c r="Q5" s="4">
        <v>-163.17511</v>
      </c>
      <c r="R5" s="8" t="str">
        <f>HYPERLINK("https://www.google.com/maps?q=62.051516,-163.175166","map: stored")</f>
        <v>map: stored</v>
      </c>
      <c r="S5" s="5" t="s">
        <v>140</v>
      </c>
      <c r="T5" s="9" t="s">
        <v>20</v>
      </c>
      <c r="U5" s="12"/>
      <c r="V5" s="12"/>
      <c r="W5" s="12"/>
      <c r="X5" s="12"/>
    </row>
    <row r="6">
      <c r="A6" s="4" t="s">
        <v>364</v>
      </c>
      <c r="B6" s="4">
        <v>939.0</v>
      </c>
      <c r="C6" s="4">
        <v>1485.0</v>
      </c>
      <c r="D6" s="4" t="s">
        <v>365</v>
      </c>
      <c r="E6" s="4" t="s">
        <v>354</v>
      </c>
      <c r="F6" s="4" t="s">
        <v>137</v>
      </c>
      <c r="G6" s="4">
        <v>62.0519</v>
      </c>
      <c r="H6" s="4">
        <v>-163.17254</v>
      </c>
      <c r="I6" s="4"/>
      <c r="J6" s="4"/>
      <c r="K6" s="4" t="s">
        <v>354</v>
      </c>
      <c r="L6" s="4" t="s">
        <v>355</v>
      </c>
      <c r="M6" s="4" t="s">
        <v>60</v>
      </c>
      <c r="N6" s="6" t="s">
        <v>356</v>
      </c>
      <c r="O6" s="4" t="s">
        <v>42</v>
      </c>
      <c r="P6" s="4">
        <v>62.05188</v>
      </c>
      <c r="Q6" s="4">
        <v>-163.17249</v>
      </c>
      <c r="R6" s="8" t="str">
        <f>HYPERLINK("https://www.google.com/maps?q=62.051900,-163.172540","map: stored")</f>
        <v>map: stored</v>
      </c>
      <c r="S6" s="5" t="s">
        <v>140</v>
      </c>
      <c r="T6" s="9" t="s">
        <v>20</v>
      </c>
      <c r="U6" s="12"/>
      <c r="V6" s="12"/>
      <c r="W6" s="12"/>
      <c r="X6" s="12"/>
    </row>
    <row r="7">
      <c r="A7" s="4" t="s">
        <v>372</v>
      </c>
      <c r="B7" s="4">
        <v>1093.0</v>
      </c>
      <c r="C7" s="4">
        <v>1486.0</v>
      </c>
      <c r="D7" s="4" t="s">
        <v>373</v>
      </c>
      <c r="E7" s="4" t="s">
        <v>354</v>
      </c>
      <c r="F7" s="4" t="s">
        <v>137</v>
      </c>
      <c r="G7" s="4">
        <v>62.06083</v>
      </c>
      <c r="H7" s="4">
        <v>-163.3018</v>
      </c>
      <c r="I7" s="4"/>
      <c r="J7" s="4"/>
      <c r="K7" s="4" t="s">
        <v>354</v>
      </c>
      <c r="L7" s="4" t="s">
        <v>355</v>
      </c>
      <c r="M7" s="4" t="s">
        <v>60</v>
      </c>
      <c r="N7" s="6" t="s">
        <v>356</v>
      </c>
      <c r="O7" s="4" t="s">
        <v>42</v>
      </c>
      <c r="P7" s="4">
        <v>62.06091</v>
      </c>
      <c r="Q7" s="4">
        <v>-163.30182</v>
      </c>
      <c r="R7" s="8" t="str">
        <f>HYPERLINK("https://www.google.com/maps?q=62.060830,-163.301800","map: stored")</f>
        <v>map: stored</v>
      </c>
      <c r="S7" s="5" t="s">
        <v>140</v>
      </c>
      <c r="T7" s="9" t="s">
        <v>20</v>
      </c>
      <c r="U7" s="12"/>
      <c r="V7" s="12"/>
      <c r="W7" s="12"/>
      <c r="X7" s="12"/>
    </row>
    <row r="8">
      <c r="A8" s="4" t="s">
        <v>376</v>
      </c>
      <c r="B8" s="4">
        <v>1262.0</v>
      </c>
      <c r="C8" s="4">
        <v>1487.0</v>
      </c>
      <c r="D8" s="4" t="s">
        <v>377</v>
      </c>
      <c r="E8" s="4" t="s">
        <v>354</v>
      </c>
      <c r="F8" s="4" t="s">
        <v>137</v>
      </c>
      <c r="G8" s="4">
        <v>62.052793</v>
      </c>
      <c r="H8" s="4">
        <v>-163.181297</v>
      </c>
      <c r="I8" s="4"/>
      <c r="J8" s="4"/>
      <c r="K8" s="4" t="s">
        <v>354</v>
      </c>
      <c r="L8" s="4" t="s">
        <v>355</v>
      </c>
      <c r="M8" s="4" t="s">
        <v>60</v>
      </c>
      <c r="N8" s="6" t="s">
        <v>356</v>
      </c>
      <c r="O8" s="4" t="s">
        <v>42</v>
      </c>
      <c r="P8" s="4">
        <v>62.05292</v>
      </c>
      <c r="Q8" s="4">
        <v>-163.18121</v>
      </c>
      <c r="R8" s="8" t="str">
        <f>HYPERLINK("https://www.google.com/maps?q=62.052793,-163.181297","map: stored")</f>
        <v>map: stored</v>
      </c>
      <c r="S8" s="5" t="s">
        <v>140</v>
      </c>
      <c r="T8" s="9" t="s">
        <v>20</v>
      </c>
      <c r="U8" s="12"/>
      <c r="V8" s="12"/>
      <c r="W8" s="12"/>
      <c r="X8" s="12"/>
    </row>
    <row r="9">
      <c r="A9" s="4" t="s">
        <v>379</v>
      </c>
      <c r="B9" s="4">
        <v>167.0</v>
      </c>
      <c r="C9" s="4">
        <v>1480.0</v>
      </c>
      <c r="D9" s="4" t="s">
        <v>381</v>
      </c>
      <c r="E9" s="4" t="s">
        <v>382</v>
      </c>
      <c r="F9" s="4" t="s">
        <v>137</v>
      </c>
      <c r="G9" s="4">
        <v>56.572258</v>
      </c>
      <c r="H9" s="4">
        <v>-169.671067</v>
      </c>
      <c r="I9" s="4"/>
      <c r="J9" s="4"/>
      <c r="K9" s="4" t="s">
        <v>382</v>
      </c>
      <c r="L9" s="4" t="s">
        <v>383</v>
      </c>
      <c r="M9" s="4" t="s">
        <v>60</v>
      </c>
      <c r="N9" s="6" t="s">
        <v>384</v>
      </c>
      <c r="O9" s="4" t="s">
        <v>42</v>
      </c>
      <c r="P9" s="4">
        <v>56.57233</v>
      </c>
      <c r="Q9" s="4">
        <v>-169.67108</v>
      </c>
      <c r="R9" s="8" t="str">
        <f>HYPERLINK("https://www.google.com/maps?q=56.572258,-169.671067","map: stored")</f>
        <v>map: stored</v>
      </c>
      <c r="S9" s="5" t="s">
        <v>140</v>
      </c>
      <c r="T9" s="9" t="s">
        <v>20</v>
      </c>
      <c r="U9" s="12"/>
      <c r="V9" s="12"/>
      <c r="W9" s="12"/>
      <c r="X9" s="12"/>
    </row>
    <row r="10">
      <c r="A10" s="4" t="s">
        <v>386</v>
      </c>
      <c r="B10" s="4">
        <v>458.0</v>
      </c>
      <c r="C10" s="4">
        <v>1481.0</v>
      </c>
      <c r="D10" s="4" t="s">
        <v>387</v>
      </c>
      <c r="E10" s="4" t="s">
        <v>382</v>
      </c>
      <c r="F10" s="4" t="s">
        <v>137</v>
      </c>
      <c r="G10" s="4">
        <v>56.577222</v>
      </c>
      <c r="H10" s="4">
        <v>-169.663611</v>
      </c>
      <c r="I10" s="4"/>
      <c r="J10" s="4"/>
      <c r="K10" s="4" t="s">
        <v>382</v>
      </c>
      <c r="L10" s="4" t="s">
        <v>383</v>
      </c>
      <c r="M10" s="4" t="s">
        <v>60</v>
      </c>
      <c r="N10" s="6" t="s">
        <v>384</v>
      </c>
      <c r="O10" s="4" t="s">
        <v>42</v>
      </c>
      <c r="P10" s="4">
        <v>56.57727</v>
      </c>
      <c r="Q10" s="4">
        <v>-169.66351</v>
      </c>
      <c r="R10" s="8" t="str">
        <f>HYPERLINK("https://www.google.com/maps?q=56.577222,-169.663611","map: stored")</f>
        <v>map: stored</v>
      </c>
      <c r="S10" s="5" t="s">
        <v>140</v>
      </c>
      <c r="T10" s="9" t="s">
        <v>20</v>
      </c>
      <c r="U10" s="12"/>
      <c r="V10" s="12"/>
      <c r="W10" s="12"/>
      <c r="X10" s="12"/>
    </row>
    <row r="11">
      <c r="A11" s="4" t="s">
        <v>392</v>
      </c>
      <c r="B11" s="4">
        <v>979.0</v>
      </c>
      <c r="C11" s="4">
        <v>1482.0</v>
      </c>
      <c r="D11" s="4" t="s">
        <v>394</v>
      </c>
      <c r="E11" s="4" t="s">
        <v>382</v>
      </c>
      <c r="F11" s="4" t="s">
        <v>137</v>
      </c>
      <c r="G11" s="4">
        <v>56.602823</v>
      </c>
      <c r="H11" s="4">
        <v>-169.543351</v>
      </c>
      <c r="I11" s="4"/>
      <c r="J11" s="4"/>
      <c r="K11" s="4" t="s">
        <v>382</v>
      </c>
      <c r="L11" s="4" t="s">
        <v>383</v>
      </c>
      <c r="M11" s="4" t="s">
        <v>60</v>
      </c>
      <c r="N11" s="6" t="s">
        <v>384</v>
      </c>
      <c r="O11" s="4" t="s">
        <v>42</v>
      </c>
      <c r="P11" s="4">
        <v>56.60291</v>
      </c>
      <c r="Q11" s="4">
        <v>-169.54321</v>
      </c>
      <c r="R11" s="8" t="str">
        <f>HYPERLINK("https://www.google.com/maps?q=56.602823,-169.543351","map: stored")</f>
        <v>map: stored</v>
      </c>
      <c r="S11" s="5" t="s">
        <v>140</v>
      </c>
      <c r="T11" s="9" t="s">
        <v>20</v>
      </c>
      <c r="U11" s="12"/>
      <c r="V11" s="12"/>
      <c r="W11" s="12"/>
      <c r="X11" s="12"/>
    </row>
    <row r="12">
      <c r="A12" s="4" t="s">
        <v>395</v>
      </c>
      <c r="B12" s="4">
        <v>40.0</v>
      </c>
      <c r="C12" s="4">
        <v>1509.0</v>
      </c>
      <c r="D12" s="4" t="s">
        <v>396</v>
      </c>
      <c r="E12" s="4" t="s">
        <v>397</v>
      </c>
      <c r="F12" s="4" t="s">
        <v>137</v>
      </c>
      <c r="G12" s="4">
        <v>57.150475</v>
      </c>
      <c r="H12" s="4">
        <v>-170.250733</v>
      </c>
      <c r="I12" s="4"/>
      <c r="J12" s="4"/>
      <c r="K12" s="4" t="s">
        <v>397</v>
      </c>
      <c r="L12" s="4" t="s">
        <v>400</v>
      </c>
      <c r="M12" s="4" t="s">
        <v>60</v>
      </c>
      <c r="N12" s="6" t="s">
        <v>402</v>
      </c>
      <c r="O12" s="4" t="s">
        <v>42</v>
      </c>
      <c r="P12" s="4">
        <v>57.15051</v>
      </c>
      <c r="Q12" s="4">
        <v>-170.25061</v>
      </c>
      <c r="R12" s="8" t="str">
        <f>HYPERLINK("https://www.google.com/maps?q=57.150475,-170.250733","map: stored")</f>
        <v>map: stored</v>
      </c>
      <c r="S12" s="5" t="s">
        <v>140</v>
      </c>
      <c r="T12" s="9" t="s">
        <v>20</v>
      </c>
      <c r="U12" s="12"/>
      <c r="V12" s="12"/>
      <c r="W12" s="12"/>
      <c r="X12" s="12"/>
    </row>
    <row r="13">
      <c r="A13" s="4" t="s">
        <v>406</v>
      </c>
      <c r="B13" s="4">
        <v>35.0</v>
      </c>
      <c r="C13" s="4">
        <v>1510.0</v>
      </c>
      <c r="D13" s="4" t="s">
        <v>407</v>
      </c>
      <c r="E13" s="4" t="s">
        <v>397</v>
      </c>
      <c r="F13" s="4" t="s">
        <v>137</v>
      </c>
      <c r="G13" s="4">
        <v>57.15813</v>
      </c>
      <c r="H13" s="4">
        <v>-170.229828</v>
      </c>
      <c r="I13" s="4"/>
      <c r="J13" s="4"/>
      <c r="K13" s="4" t="s">
        <v>397</v>
      </c>
      <c r="L13" s="4" t="s">
        <v>400</v>
      </c>
      <c r="M13" s="4" t="s">
        <v>60</v>
      </c>
      <c r="N13" s="6" t="s">
        <v>402</v>
      </c>
      <c r="O13" s="4" t="s">
        <v>42</v>
      </c>
      <c r="P13" s="4">
        <v>57.15808</v>
      </c>
      <c r="Q13" s="4">
        <v>-170.2298</v>
      </c>
      <c r="R13" s="8" t="str">
        <f>HYPERLINK("https://www.google.com/maps?q=57.158130,-170.229828","map: stored")</f>
        <v>map: stored</v>
      </c>
      <c r="S13" s="5" t="s">
        <v>140</v>
      </c>
      <c r="T13" s="9" t="s">
        <v>20</v>
      </c>
      <c r="U13" s="12"/>
      <c r="V13" s="12"/>
      <c r="W13" s="12"/>
      <c r="X13" s="12"/>
    </row>
    <row r="14">
      <c r="A14" s="4" t="s">
        <v>410</v>
      </c>
      <c r="B14" s="4">
        <v>459.0</v>
      </c>
      <c r="C14" s="4">
        <v>1511.0</v>
      </c>
      <c r="D14" s="4" t="s">
        <v>411</v>
      </c>
      <c r="E14" s="4" t="s">
        <v>397</v>
      </c>
      <c r="F14" s="4" t="s">
        <v>137</v>
      </c>
      <c r="G14" s="4">
        <v>57.157869</v>
      </c>
      <c r="H14" s="4">
        <v>-170.220672</v>
      </c>
      <c r="I14" s="4"/>
      <c r="J14" s="4"/>
      <c r="K14" s="4" t="s">
        <v>397</v>
      </c>
      <c r="L14" s="4" t="s">
        <v>400</v>
      </c>
      <c r="M14" s="4" t="s">
        <v>60</v>
      </c>
      <c r="N14" s="6" t="s">
        <v>402</v>
      </c>
      <c r="O14" s="4" t="s">
        <v>42</v>
      </c>
      <c r="P14" s="4">
        <v>57.1579</v>
      </c>
      <c r="Q14" s="4">
        <v>-170.22058</v>
      </c>
      <c r="R14" s="8" t="str">
        <f>HYPERLINK("https://www.google.com/maps?q=57.157869,-170.220672","map: stored")</f>
        <v>map: stored</v>
      </c>
      <c r="S14" s="5" t="s">
        <v>140</v>
      </c>
      <c r="T14" s="9" t="s">
        <v>20</v>
      </c>
      <c r="U14" s="12"/>
      <c r="V14" s="12"/>
      <c r="W14" s="12"/>
      <c r="X14" s="12"/>
    </row>
    <row r="15">
      <c r="A15" s="4" t="s">
        <v>418</v>
      </c>
      <c r="B15" s="4">
        <v>890.0</v>
      </c>
      <c r="C15" s="4">
        <v>1512.0</v>
      </c>
      <c r="D15" s="4" t="s">
        <v>419</v>
      </c>
      <c r="E15" s="4" t="s">
        <v>397</v>
      </c>
      <c r="F15" s="4" t="s">
        <v>137</v>
      </c>
      <c r="G15" s="4">
        <v>57.124673</v>
      </c>
      <c r="H15" s="4">
        <v>-170.283921</v>
      </c>
      <c r="I15" s="4"/>
      <c r="J15" s="4"/>
      <c r="K15" s="4" t="s">
        <v>397</v>
      </c>
      <c r="L15" s="4" t="s">
        <v>400</v>
      </c>
      <c r="M15" s="4" t="s">
        <v>60</v>
      </c>
      <c r="N15" s="6" t="s">
        <v>402</v>
      </c>
      <c r="O15" s="4" t="s">
        <v>42</v>
      </c>
      <c r="P15" s="4">
        <v>57.12469</v>
      </c>
      <c r="Q15" s="4">
        <v>-170.28387</v>
      </c>
      <c r="R15" s="8" t="str">
        <f>HYPERLINK("https://www.google.com/maps?q=57.124673,-170.283921","map: stored")</f>
        <v>map: stored</v>
      </c>
      <c r="S15" s="5" t="s">
        <v>140</v>
      </c>
      <c r="T15" s="9" t="s">
        <v>20</v>
      </c>
      <c r="U15" s="12"/>
      <c r="V15" s="12"/>
      <c r="W15" s="12"/>
      <c r="X15" s="12"/>
    </row>
    <row r="16">
      <c r="A16" s="4" t="s">
        <v>420</v>
      </c>
      <c r="B16" s="4">
        <v>998.0</v>
      </c>
      <c r="C16" s="4">
        <v>1513.0</v>
      </c>
      <c r="D16" s="4" t="s">
        <v>422</v>
      </c>
      <c r="E16" s="4" t="s">
        <v>397</v>
      </c>
      <c r="F16" s="4" t="s">
        <v>137</v>
      </c>
      <c r="G16" s="4">
        <v>57.121002</v>
      </c>
      <c r="H16" s="4">
        <v>-170.279556</v>
      </c>
      <c r="I16" s="4"/>
      <c r="J16" s="4"/>
      <c r="K16" s="4" t="s">
        <v>397</v>
      </c>
      <c r="L16" s="4" t="s">
        <v>400</v>
      </c>
      <c r="M16" s="4" t="s">
        <v>60</v>
      </c>
      <c r="N16" s="6" t="s">
        <v>402</v>
      </c>
      <c r="O16" s="4" t="s">
        <v>42</v>
      </c>
      <c r="P16" s="4">
        <v>57.12109</v>
      </c>
      <c r="Q16" s="4">
        <v>-170.27948</v>
      </c>
      <c r="R16" s="8" t="str">
        <f>HYPERLINK("https://www.google.com/maps?q=57.121002,-170.279556","map: stored")</f>
        <v>map: stored</v>
      </c>
      <c r="S16" s="5" t="s">
        <v>140</v>
      </c>
      <c r="T16" s="9" t="s">
        <v>20</v>
      </c>
      <c r="U16" s="12"/>
      <c r="V16" s="12"/>
      <c r="W16" s="12"/>
      <c r="X16" s="12"/>
    </row>
    <row r="17">
      <c r="A17" s="4" t="s">
        <v>427</v>
      </c>
      <c r="B17" s="4">
        <v>1088.0</v>
      </c>
      <c r="C17" s="4">
        <v>1514.0</v>
      </c>
      <c r="D17" s="4" t="s">
        <v>428</v>
      </c>
      <c r="E17" s="4" t="s">
        <v>397</v>
      </c>
      <c r="F17" s="4" t="s">
        <v>137</v>
      </c>
      <c r="G17" s="4">
        <v>57.17063</v>
      </c>
      <c r="H17" s="4">
        <v>-170.2194</v>
      </c>
      <c r="I17" s="4"/>
      <c r="J17" s="4"/>
      <c r="K17" s="4" t="s">
        <v>397</v>
      </c>
      <c r="L17" s="4" t="s">
        <v>400</v>
      </c>
      <c r="M17" s="4" t="s">
        <v>60</v>
      </c>
      <c r="N17" s="6" t="s">
        <v>402</v>
      </c>
      <c r="O17" s="4" t="s">
        <v>42</v>
      </c>
      <c r="P17" s="4">
        <v>57.17072</v>
      </c>
      <c r="Q17" s="4">
        <v>-170.21942</v>
      </c>
      <c r="R17" s="8" t="str">
        <f>HYPERLINK("https://www.google.com/maps?q=57.170630,-170.219400","map: stored")</f>
        <v>map: stored</v>
      </c>
      <c r="S17" s="5" t="s">
        <v>140</v>
      </c>
      <c r="T17" s="9" t="s">
        <v>20</v>
      </c>
      <c r="U17" s="12"/>
      <c r="V17" s="12"/>
      <c r="W17" s="12"/>
      <c r="X17" s="12"/>
    </row>
    <row r="18">
      <c r="A18" s="4" t="s">
        <v>429</v>
      </c>
      <c r="B18" s="4">
        <v>1349.0</v>
      </c>
      <c r="C18" s="4">
        <v>320.0</v>
      </c>
      <c r="D18" s="4" t="s">
        <v>430</v>
      </c>
      <c r="E18" s="4" t="s">
        <v>431</v>
      </c>
      <c r="F18" s="4" t="s">
        <v>137</v>
      </c>
      <c r="G18" s="4">
        <v>66.923453</v>
      </c>
      <c r="H18" s="4">
        <v>-151.508147</v>
      </c>
      <c r="I18" s="4"/>
      <c r="J18" s="4"/>
      <c r="K18" s="4" t="s">
        <v>431</v>
      </c>
      <c r="L18" s="4" t="s">
        <v>433</v>
      </c>
      <c r="M18" s="4" t="s">
        <v>40</v>
      </c>
      <c r="N18" s="6" t="s">
        <v>435</v>
      </c>
      <c r="O18" s="4" t="s">
        <v>42</v>
      </c>
      <c r="P18" s="4">
        <v>66.92352</v>
      </c>
      <c r="Q18" s="4">
        <v>-151.50812</v>
      </c>
      <c r="R18" s="8" t="str">
        <f>HYPERLINK("https://www.google.com/maps?q=66.923453,-151.508147","map: stored")</f>
        <v>map: stored</v>
      </c>
      <c r="S18" s="5" t="s">
        <v>140</v>
      </c>
      <c r="T18" s="9" t="s">
        <v>20</v>
      </c>
      <c r="U18" s="12"/>
      <c r="V18" s="12"/>
      <c r="W18" s="12"/>
      <c r="X18" s="12"/>
    </row>
    <row r="19">
      <c r="A19" s="4" t="s">
        <v>438</v>
      </c>
      <c r="B19" s="4">
        <v>1350.0</v>
      </c>
      <c r="C19" s="4">
        <v>321.0</v>
      </c>
      <c r="D19" s="4" t="s">
        <v>439</v>
      </c>
      <c r="E19" s="4" t="s">
        <v>431</v>
      </c>
      <c r="F19" s="4" t="s">
        <v>137</v>
      </c>
      <c r="G19" s="4">
        <v>66.918175</v>
      </c>
      <c r="H19" s="4">
        <v>-151.516689</v>
      </c>
      <c r="I19" s="4"/>
      <c r="J19" s="4"/>
      <c r="K19" s="4" t="s">
        <v>431</v>
      </c>
      <c r="L19" s="4" t="s">
        <v>433</v>
      </c>
      <c r="M19" s="4" t="s">
        <v>40</v>
      </c>
      <c r="N19" s="6" t="s">
        <v>435</v>
      </c>
      <c r="O19" s="4" t="s">
        <v>42</v>
      </c>
      <c r="P19" s="4">
        <v>66.91827</v>
      </c>
      <c r="Q19" s="4">
        <v>-151.5166</v>
      </c>
      <c r="R19" s="8" t="str">
        <f>HYPERLINK("https://www.google.com/maps?q=66.918175,-151.516689","map: stored")</f>
        <v>map: stored</v>
      </c>
      <c r="S19" s="5" t="s">
        <v>140</v>
      </c>
      <c r="T19" s="9" t="s">
        <v>20</v>
      </c>
      <c r="U19" s="12"/>
      <c r="V19" s="12"/>
      <c r="W19" s="12"/>
      <c r="X19" s="12"/>
    </row>
    <row r="20">
      <c r="A20" s="4" t="s">
        <v>445</v>
      </c>
      <c r="B20" s="4">
        <v>1351.0</v>
      </c>
      <c r="C20" s="4">
        <v>322.0</v>
      </c>
      <c r="D20" s="4" t="s">
        <v>446</v>
      </c>
      <c r="E20" s="4" t="s">
        <v>431</v>
      </c>
      <c r="F20" s="4" t="s">
        <v>137</v>
      </c>
      <c r="G20" s="4">
        <v>66.919264</v>
      </c>
      <c r="H20" s="4">
        <v>-151.51405</v>
      </c>
      <c r="I20" s="4"/>
      <c r="J20" s="4"/>
      <c r="K20" s="4" t="s">
        <v>431</v>
      </c>
      <c r="L20" s="4" t="s">
        <v>433</v>
      </c>
      <c r="M20" s="4" t="s">
        <v>40</v>
      </c>
      <c r="N20" s="6" t="s">
        <v>435</v>
      </c>
      <c r="O20" s="4" t="s">
        <v>42</v>
      </c>
      <c r="P20" s="4">
        <v>66.91931</v>
      </c>
      <c r="Q20" s="4">
        <v>-151.51398</v>
      </c>
      <c r="R20" s="8" t="str">
        <f>HYPERLINK("https://www.google.com/maps?q=66.919264,-151.514050","map: stored")</f>
        <v>map: stored</v>
      </c>
      <c r="S20" s="5" t="s">
        <v>140</v>
      </c>
      <c r="T20" s="9" t="s">
        <v>20</v>
      </c>
      <c r="U20" s="12"/>
      <c r="V20" s="12"/>
      <c r="W20" s="12"/>
      <c r="X20" s="12"/>
    </row>
    <row r="21" ht="15.75" customHeight="1">
      <c r="A21" s="4" t="s">
        <v>449</v>
      </c>
      <c r="B21" s="4">
        <v>1352.0</v>
      </c>
      <c r="C21" s="4">
        <v>323.0</v>
      </c>
      <c r="D21" s="4" t="s">
        <v>450</v>
      </c>
      <c r="E21" s="4" t="s">
        <v>431</v>
      </c>
      <c r="F21" s="4" t="s">
        <v>137</v>
      </c>
      <c r="G21" s="4">
        <v>66.921721</v>
      </c>
      <c r="H21" s="4">
        <v>-151.507715</v>
      </c>
      <c r="I21" s="4"/>
      <c r="J21" s="4"/>
      <c r="K21" s="4" t="s">
        <v>431</v>
      </c>
      <c r="L21" s="4" t="s">
        <v>433</v>
      </c>
      <c r="M21" s="4" t="s">
        <v>40</v>
      </c>
      <c r="N21" s="6" t="s">
        <v>435</v>
      </c>
      <c r="O21" s="4" t="s">
        <v>42</v>
      </c>
      <c r="P21" s="4">
        <v>66.92169</v>
      </c>
      <c r="Q21" s="4">
        <v>-151.50769</v>
      </c>
      <c r="R21" s="8" t="str">
        <f>HYPERLINK("https://www.google.com/maps?q=66.921721,-151.507715","map: stored")</f>
        <v>map: stored</v>
      </c>
      <c r="S21" s="5" t="s">
        <v>140</v>
      </c>
      <c r="T21" s="9" t="s">
        <v>20</v>
      </c>
      <c r="U21" s="12"/>
      <c r="V21" s="12"/>
      <c r="W21" s="12"/>
      <c r="X21" s="12"/>
    </row>
    <row r="22" ht="15.75" customHeight="1">
      <c r="A22" s="4" t="s">
        <v>456</v>
      </c>
      <c r="B22" s="4">
        <v>1353.0</v>
      </c>
      <c r="C22" s="4">
        <v>324.0</v>
      </c>
      <c r="D22" s="4" t="s">
        <v>457</v>
      </c>
      <c r="E22" s="4" t="s">
        <v>431</v>
      </c>
      <c r="F22" s="4" t="s">
        <v>137</v>
      </c>
      <c r="G22" s="4">
        <v>66.921214</v>
      </c>
      <c r="H22" s="4">
        <v>-151.509126</v>
      </c>
      <c r="I22" s="4"/>
      <c r="J22" s="4"/>
      <c r="K22" s="4" t="s">
        <v>431</v>
      </c>
      <c r="L22" s="4" t="s">
        <v>433</v>
      </c>
      <c r="M22" s="4" t="s">
        <v>40</v>
      </c>
      <c r="N22" s="6" t="s">
        <v>435</v>
      </c>
      <c r="O22" s="4" t="s">
        <v>42</v>
      </c>
      <c r="P22" s="4">
        <v>66.92133</v>
      </c>
      <c r="Q22" s="4">
        <v>-151.50909</v>
      </c>
      <c r="R22" s="8" t="str">
        <f>HYPERLINK("https://www.google.com/maps?q=66.921214,-151.509126","map: stored")</f>
        <v>map: stored</v>
      </c>
      <c r="S22" s="5" t="s">
        <v>140</v>
      </c>
      <c r="T22" s="9" t="s">
        <v>20</v>
      </c>
      <c r="U22" s="12"/>
      <c r="V22" s="12"/>
      <c r="W22" s="12"/>
      <c r="X22" s="12"/>
    </row>
    <row r="23" ht="15.75" customHeight="1">
      <c r="A23" s="4" t="s">
        <v>461</v>
      </c>
      <c r="B23" s="4">
        <v>1219.0</v>
      </c>
      <c r="C23" s="4">
        <v>1198.0</v>
      </c>
      <c r="D23" s="4" t="s">
        <v>462</v>
      </c>
      <c r="E23" s="4" t="s">
        <v>463</v>
      </c>
      <c r="F23" s="4" t="s">
        <v>137</v>
      </c>
      <c r="G23" s="4">
        <v>55.868903</v>
      </c>
      <c r="H23" s="4">
        <v>-133.202584</v>
      </c>
      <c r="I23" s="4"/>
      <c r="J23" s="4"/>
      <c r="K23" s="4" t="s">
        <v>463</v>
      </c>
      <c r="L23" s="4" t="s">
        <v>466</v>
      </c>
      <c r="M23" s="4" t="s">
        <v>40</v>
      </c>
      <c r="N23" s="6" t="s">
        <v>467</v>
      </c>
      <c r="O23" s="4" t="s">
        <v>42</v>
      </c>
      <c r="P23" s="4">
        <v>55.8689</v>
      </c>
      <c r="Q23" s="4">
        <v>-133.20258</v>
      </c>
      <c r="R23" s="8" t="str">
        <f>HYPERLINK("https://www.google.com/maps?q=55.868903,-133.202584","map: stored")</f>
        <v>map: stored</v>
      </c>
      <c r="S23" s="5" t="s">
        <v>140</v>
      </c>
      <c r="T23" s="9" t="s">
        <v>20</v>
      </c>
      <c r="U23" s="12"/>
      <c r="V23" s="12"/>
      <c r="W23" s="12"/>
      <c r="X23" s="12"/>
    </row>
    <row r="24" ht="15.75" customHeight="1">
      <c r="A24" s="4" t="s">
        <v>468</v>
      </c>
      <c r="B24" s="4">
        <v>464.0</v>
      </c>
      <c r="C24" s="4">
        <v>894.0</v>
      </c>
      <c r="D24" s="4" t="s">
        <v>469</v>
      </c>
      <c r="E24" s="4" t="s">
        <v>470</v>
      </c>
      <c r="F24" s="4" t="s">
        <v>137</v>
      </c>
      <c r="G24" s="4">
        <v>61.526121</v>
      </c>
      <c r="H24" s="4">
        <v>-160.348529</v>
      </c>
      <c r="I24" s="4"/>
      <c r="J24" s="4"/>
      <c r="K24" s="4" t="s">
        <v>470</v>
      </c>
      <c r="L24" s="4" t="s">
        <v>471</v>
      </c>
      <c r="M24" s="4" t="s">
        <v>40</v>
      </c>
      <c r="N24" s="6" t="s">
        <v>472</v>
      </c>
      <c r="O24" s="4" t="s">
        <v>42</v>
      </c>
      <c r="P24" s="4">
        <v>61.52612</v>
      </c>
      <c r="Q24" s="4">
        <v>-160.34851</v>
      </c>
      <c r="R24" s="8" t="str">
        <f>HYPERLINK("https://www.google.com/maps?q=61.526121,-160.348529","map: stored")</f>
        <v>map: stored</v>
      </c>
      <c r="S24" s="5" t="s">
        <v>140</v>
      </c>
      <c r="T24" s="9" t="s">
        <v>20</v>
      </c>
      <c r="U24" s="12"/>
      <c r="V24" s="12"/>
      <c r="W24" s="12"/>
      <c r="X24" s="12"/>
    </row>
    <row r="25" ht="15.75" customHeight="1">
      <c r="A25" s="4" t="s">
        <v>476</v>
      </c>
      <c r="B25" s="4">
        <v>465.0</v>
      </c>
      <c r="C25" s="4">
        <v>895.0</v>
      </c>
      <c r="D25" s="4" t="s">
        <v>477</v>
      </c>
      <c r="E25" s="4" t="s">
        <v>470</v>
      </c>
      <c r="F25" s="4" t="s">
        <v>137</v>
      </c>
      <c r="G25" s="4">
        <v>61.526216</v>
      </c>
      <c r="H25" s="4">
        <v>-160.348395</v>
      </c>
      <c r="I25" s="4"/>
      <c r="J25" s="4"/>
      <c r="K25" s="4" t="s">
        <v>470</v>
      </c>
      <c r="L25" s="4" t="s">
        <v>471</v>
      </c>
      <c r="M25" s="4" t="s">
        <v>40</v>
      </c>
      <c r="N25" s="6" t="s">
        <v>472</v>
      </c>
      <c r="O25" s="4" t="s">
        <v>42</v>
      </c>
      <c r="P25" s="4">
        <v>61.52631</v>
      </c>
      <c r="Q25" s="4">
        <v>-160.34839</v>
      </c>
      <c r="R25" s="8" t="str">
        <f>HYPERLINK("https://www.google.com/maps?q=61.526216,-160.348395","map: stored")</f>
        <v>map: stored</v>
      </c>
      <c r="S25" s="5" t="s">
        <v>140</v>
      </c>
      <c r="T25" s="9" t="s">
        <v>20</v>
      </c>
      <c r="U25" s="12"/>
      <c r="V25" s="12"/>
      <c r="W25" s="12"/>
      <c r="X25" s="12"/>
    </row>
    <row r="26" ht="15.75" customHeight="1">
      <c r="A26" s="4" t="s">
        <v>482</v>
      </c>
      <c r="B26" s="4">
        <v>916.0</v>
      </c>
      <c r="C26" s="4">
        <v>896.0</v>
      </c>
      <c r="D26" s="4" t="s">
        <v>484</v>
      </c>
      <c r="E26" s="4" t="s">
        <v>470</v>
      </c>
      <c r="F26" s="4" t="s">
        <v>137</v>
      </c>
      <c r="G26" s="4">
        <v>61.526748</v>
      </c>
      <c r="H26" s="4">
        <v>-160.347688</v>
      </c>
      <c r="I26" s="4"/>
      <c r="J26" s="4"/>
      <c r="K26" s="4" t="s">
        <v>470</v>
      </c>
      <c r="L26" s="4" t="s">
        <v>471</v>
      </c>
      <c r="M26" s="4" t="s">
        <v>40</v>
      </c>
      <c r="N26" s="6" t="s">
        <v>472</v>
      </c>
      <c r="O26" s="4" t="s">
        <v>42</v>
      </c>
      <c r="P26" s="4">
        <v>61.52667</v>
      </c>
      <c r="Q26" s="4">
        <v>-160.34772</v>
      </c>
      <c r="R26" s="8" t="str">
        <f>HYPERLINK("https://www.google.com/maps?q=61.526748,-160.347688","map: stored")</f>
        <v>map: stored</v>
      </c>
      <c r="S26" s="5" t="s">
        <v>140</v>
      </c>
      <c r="T26" s="9" t="s">
        <v>20</v>
      </c>
      <c r="U26" s="12"/>
      <c r="V26" s="12"/>
      <c r="W26" s="12"/>
      <c r="X26" s="12"/>
    </row>
    <row r="27" ht="15.75" customHeight="1">
      <c r="A27" s="4" t="s">
        <v>485</v>
      </c>
      <c r="B27" s="4">
        <v>1163.0</v>
      </c>
      <c r="C27" s="4">
        <v>897.0</v>
      </c>
      <c r="D27" s="4" t="s">
        <v>486</v>
      </c>
      <c r="E27" s="4" t="s">
        <v>470</v>
      </c>
      <c r="F27" s="4" t="s">
        <v>137</v>
      </c>
      <c r="G27" s="4">
        <v>61.538659</v>
      </c>
      <c r="H27" s="4">
        <v>-160.338443</v>
      </c>
      <c r="I27" s="4"/>
      <c r="J27" s="4"/>
      <c r="K27" s="4" t="s">
        <v>470</v>
      </c>
      <c r="L27" s="4" t="s">
        <v>471</v>
      </c>
      <c r="M27" s="4" t="s">
        <v>40</v>
      </c>
      <c r="N27" s="6" t="s">
        <v>472</v>
      </c>
      <c r="O27" s="4" t="s">
        <v>42</v>
      </c>
      <c r="P27" s="4">
        <v>61.5387</v>
      </c>
      <c r="Q27" s="4">
        <v>-160.33838</v>
      </c>
      <c r="R27" s="8" t="str">
        <f>HYPERLINK("https://www.google.com/maps?q=61.538659,-160.338443","map: stored")</f>
        <v>map: stored</v>
      </c>
      <c r="S27" s="5" t="s">
        <v>140</v>
      </c>
      <c r="T27" s="9" t="s">
        <v>20</v>
      </c>
      <c r="U27" s="12"/>
      <c r="V27" s="12"/>
      <c r="W27" s="12"/>
      <c r="X27" s="12"/>
    </row>
    <row r="28" ht="15.75" customHeight="1">
      <c r="A28" s="4" t="s">
        <v>492</v>
      </c>
      <c r="B28" s="4">
        <v>163.0</v>
      </c>
      <c r="C28" s="4">
        <v>520.0</v>
      </c>
      <c r="D28" s="4" t="s">
        <v>493</v>
      </c>
      <c r="E28" s="4" t="s">
        <v>494</v>
      </c>
      <c r="F28" s="4" t="s">
        <v>137</v>
      </c>
      <c r="G28" s="4">
        <v>53.88725</v>
      </c>
      <c r="H28" s="4">
        <v>-166.546839</v>
      </c>
      <c r="I28" s="4"/>
      <c r="J28" s="4"/>
      <c r="K28" s="4" t="s">
        <v>494</v>
      </c>
      <c r="L28" s="4" t="s">
        <v>120</v>
      </c>
      <c r="M28" s="4" t="s">
        <v>40</v>
      </c>
      <c r="N28" s="6" t="s">
        <v>495</v>
      </c>
      <c r="O28" s="4" t="s">
        <v>42</v>
      </c>
      <c r="P28" s="4">
        <v>53.88733</v>
      </c>
      <c r="Q28" s="4">
        <v>-166.54681</v>
      </c>
      <c r="R28" s="8" t="str">
        <f>HYPERLINK("https://www.google.com/maps?q=53.887250,-166.546839","map: stored")</f>
        <v>map: stored</v>
      </c>
      <c r="S28" s="5" t="s">
        <v>140</v>
      </c>
      <c r="T28" s="9" t="s">
        <v>20</v>
      </c>
      <c r="U28" s="12"/>
      <c r="V28" s="12"/>
      <c r="W28" s="12"/>
      <c r="X28" s="12"/>
    </row>
    <row r="29" ht="15.75" customHeight="1">
      <c r="A29" s="4" t="s">
        <v>498</v>
      </c>
      <c r="B29" s="4">
        <v>443.0</v>
      </c>
      <c r="C29" s="4">
        <v>521.0</v>
      </c>
      <c r="D29" s="4" t="s">
        <v>499</v>
      </c>
      <c r="E29" s="4" t="s">
        <v>494</v>
      </c>
      <c r="F29" s="4" t="s">
        <v>137</v>
      </c>
      <c r="G29" s="4">
        <v>53.896944</v>
      </c>
      <c r="H29" s="4">
        <v>-166.54</v>
      </c>
      <c r="I29" s="4"/>
      <c r="J29" s="4"/>
      <c r="K29" s="4" t="s">
        <v>494</v>
      </c>
      <c r="L29" s="4" t="s">
        <v>120</v>
      </c>
      <c r="M29" s="4" t="s">
        <v>40</v>
      </c>
      <c r="N29" s="6" t="s">
        <v>495</v>
      </c>
      <c r="O29" s="4" t="s">
        <v>42</v>
      </c>
      <c r="P29" s="4">
        <v>53.89709</v>
      </c>
      <c r="Q29" s="4">
        <v>-166.53998</v>
      </c>
      <c r="R29" s="8" t="str">
        <f>HYPERLINK("https://www.google.com/maps?q=53.896944,-166.540000","map: stored")</f>
        <v>map: stored</v>
      </c>
      <c r="S29" s="5" t="s">
        <v>140</v>
      </c>
      <c r="T29" s="9" t="s">
        <v>20</v>
      </c>
      <c r="U29" s="12"/>
      <c r="V29" s="12"/>
      <c r="W29" s="12"/>
      <c r="X29" s="12"/>
    </row>
    <row r="30" ht="15.75" customHeight="1">
      <c r="A30" s="4" t="s">
        <v>503</v>
      </c>
      <c r="B30" s="4">
        <v>865.0</v>
      </c>
      <c r="C30" s="4">
        <v>522.0</v>
      </c>
      <c r="D30" s="4" t="s">
        <v>504</v>
      </c>
      <c r="E30" s="4" t="s">
        <v>494</v>
      </c>
      <c r="F30" s="4" t="s">
        <v>137</v>
      </c>
      <c r="G30" s="4">
        <v>53.912423</v>
      </c>
      <c r="H30" s="4">
        <v>-166.506715</v>
      </c>
      <c r="I30" s="4"/>
      <c r="J30" s="4"/>
      <c r="K30" s="4" t="s">
        <v>494</v>
      </c>
      <c r="L30" s="4" t="s">
        <v>120</v>
      </c>
      <c r="M30" s="4" t="s">
        <v>40</v>
      </c>
      <c r="N30" s="6" t="s">
        <v>495</v>
      </c>
      <c r="O30" s="4" t="s">
        <v>42</v>
      </c>
      <c r="P30" s="4">
        <v>53.91248</v>
      </c>
      <c r="Q30" s="4">
        <v>-166.50671</v>
      </c>
      <c r="R30" s="8" t="str">
        <f>HYPERLINK("https://www.google.com/maps?q=53.912423,-166.506715","map: stored")</f>
        <v>map: stored</v>
      </c>
      <c r="S30" s="5" t="s">
        <v>140</v>
      </c>
      <c r="T30" s="9" t="s">
        <v>20</v>
      </c>
      <c r="U30" s="12"/>
      <c r="V30" s="12"/>
      <c r="W30" s="12"/>
      <c r="X30" s="12"/>
    </row>
    <row r="31" ht="15.75" customHeight="1">
      <c r="A31" s="4" t="s">
        <v>509</v>
      </c>
      <c r="B31" s="4">
        <v>1049.0</v>
      </c>
      <c r="C31" s="4">
        <v>523.0</v>
      </c>
      <c r="D31" s="4" t="s">
        <v>510</v>
      </c>
      <c r="E31" s="4" t="s">
        <v>494</v>
      </c>
      <c r="F31" s="4" t="s">
        <v>137</v>
      </c>
      <c r="G31" s="4">
        <v>53.90514</v>
      </c>
      <c r="H31" s="4">
        <v>-166.5478</v>
      </c>
      <c r="I31" s="4"/>
      <c r="J31" s="4"/>
      <c r="K31" s="4" t="s">
        <v>494</v>
      </c>
      <c r="L31" s="4" t="s">
        <v>120</v>
      </c>
      <c r="M31" s="4" t="s">
        <v>40</v>
      </c>
      <c r="N31" s="6" t="s">
        <v>495</v>
      </c>
      <c r="O31" s="4" t="s">
        <v>42</v>
      </c>
      <c r="P31" s="4">
        <v>53.90527</v>
      </c>
      <c r="Q31" s="4">
        <v>-166.54779</v>
      </c>
      <c r="R31" s="8" t="str">
        <f>HYPERLINK("https://www.google.com/maps?q=53.905140,-166.547800","map: stored")</f>
        <v>map: stored</v>
      </c>
      <c r="S31" s="5" t="s">
        <v>140</v>
      </c>
      <c r="T31" s="9" t="s">
        <v>20</v>
      </c>
      <c r="U31" s="12"/>
      <c r="V31" s="12"/>
      <c r="W31" s="12"/>
      <c r="X31" s="12"/>
    </row>
    <row r="32" ht="15.75" customHeight="1">
      <c r="T32" s="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32"/>
  <dataValidations>
    <dataValidation type="list" allowBlank="1" sqref="T2:T32">
      <formula1>"approve,approve with my value,reject,ask AEA,skip for now"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2026-10-05T21:21:22Z</dcterms:created>
  <dc:creator>openpyxl</dc:creator>
</cp:coreProperties>
</file>