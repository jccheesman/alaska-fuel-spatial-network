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Decisions" sheetId="2" r:id="rId5"/>
    <sheet state="visible" name="Open questions" sheetId="3" r:id="rId6"/>
    <sheet state="visible" name="Stacks review" sheetId="4" r:id="rId7"/>
    <sheet state="visible" name="Stack farms" sheetId="5" r:id="rId8"/>
    <sheet state="visible" name="Stack findings" sheetId="6" r:id="rId9"/>
  </sheets>
  <definedNames>
    <definedName hidden="1" localSheetId="1" name="_xlnm._FilterDatabase">Decisions!$A$1:$X$54</definedName>
    <definedName hidden="1" localSheetId="2" name="_xlnm._FilterDatabase">'Open questions'!$A$1:$L$9</definedName>
    <definedName hidden="1" localSheetId="3" name="_xlnm._FilterDatabase">'Stacks review'!$A$1:$Z$69</definedName>
    <definedName hidden="1" localSheetId="4" name="_xlnm._FilterDatabase">'Stack farms'!$A$1:$K$22</definedName>
  </definedNames>
  <calcPr/>
  <extLst>
    <ext uri="GoogleSheetsCustomDataVersion2">
      <go:sheetsCustomData xmlns:go="http://customooxmlschemas.google.com/" r:id="rId10" roundtripDataChecksum="a3QWIVvoIWou0K0AbHRJmVcpSLY6Yy/bbhctlzFQPNo="/>
    </ext>
  </extLst>
</workbook>
</file>

<file path=xl/sharedStrings.xml><?xml version="1.0" encoding="utf-8"?>
<sst xmlns="http://schemas.openxmlformats.org/spreadsheetml/2006/main" count="1747" uniqueCount="740">
  <si>
    <t>Bulk-fuel corrections — decision log</t>
  </si>
  <si>
    <t>This file records every review decision so far, copied verbatim from corrections_review_updated.xlsx (decision, your_value, notes, reviewed_by, reviewed_on), plus the change each decision produces.</t>
  </si>
  <si>
    <t>Nothing has been applied to either repository.</t>
  </si>
  <si>
    <t>group</t>
  </si>
  <si>
    <t>Tabs</t>
  </si>
  <si>
    <t>row_type</t>
  </si>
  <si>
    <t>facility_pid</t>
  </si>
  <si>
    <t>facility_id</t>
  </si>
  <si>
    <t xml:space="preserve">  Decisions        tabs 1–5 and 7 of your review (53 rows): your inputs verbatim + resulting action, new values, and status.</t>
  </si>
  <si>
    <t>csv_row</t>
  </si>
  <si>
    <t>GlobalID</t>
  </si>
  <si>
    <t xml:space="preserve">  Open questions   the 8 rows that need you (status = confirm or pending), with what is needed.</t>
  </si>
  <si>
    <t>label</t>
  </si>
  <si>
    <t>current_lat</t>
  </si>
  <si>
    <t xml:space="preserve">  Stacks review    tab 6 (51 rows) with the new tank-farm analysis and a recommended action; yellow columns for your decision.</t>
  </si>
  <si>
    <t>current_lon</t>
  </si>
  <si>
    <t>proposed_value</t>
  </si>
  <si>
    <t>your_decision</t>
  </si>
  <si>
    <t>status</t>
  </si>
  <si>
    <t xml:space="preserve">  Stack farms      the 21 AEA tank farms whose ID is shared by several communities' records.</t>
  </si>
  <si>
    <t>your_value</t>
  </si>
  <si>
    <t>action</t>
  </si>
  <si>
    <t>farm</t>
  </si>
  <si>
    <t xml:space="preserve">  Stack findings   what is going wrong with the shared-point records, and options.</t>
  </si>
  <si>
    <t>your_notes</t>
  </si>
  <si>
    <t>farm_sits_in</t>
  </si>
  <si>
    <t>public_says (Decisions, Open questions, Stacks review): what the ACEP/UAF Alaska Energy Data Gateway file public_bulk_fuel.csv (CC-BY-4.0, ref. 2026) has for the same record — matched by AEA map point + capacity + community — and, where useful, the nearest AEA 2024-assessment row. public_agrees_with_fix: does the public file already reflect the proposed change (yes / no / n/a).</t>
  </si>
  <si>
    <t>reviewed_by</t>
  </si>
  <si>
    <t>farm_record</t>
  </si>
  <si>
    <t>Status legend</t>
  </si>
  <si>
    <t>reviewed_on</t>
  </si>
  <si>
    <t xml:space="preserve">  ready    — decision is unambiguous; will be applied as shown in action / new_lat / new_lon / new_label.</t>
  </si>
  <si>
    <t>new_lat</t>
  </si>
  <si>
    <t xml:space="preserve">  confirm  — I had to interpret your entry (e.g. 'reject' with a value given); check the 'interpretation' column.</t>
  </si>
  <si>
    <t>aea_2025_status</t>
  </si>
  <si>
    <t>new_lon</t>
  </si>
  <si>
    <t xml:space="preserve">  pending  — no decision yet.</t>
  </si>
  <si>
    <t>public_says</t>
  </si>
  <si>
    <t>recommended_action</t>
  </si>
  <si>
    <t>new_label</t>
  </si>
  <si>
    <t>suggested_lat</t>
  </si>
  <si>
    <t>To send back: edit the yellow cells in 'Open questions' and 'Stacks review' (or change any value in 'Decisions'), save, and upload. I will turn 'ready' rows into the corrections file.</t>
  </si>
  <si>
    <t>interpretation</t>
  </si>
  <si>
    <t>what_is_needed</t>
  </si>
  <si>
    <t>suggested_lon</t>
  </si>
  <si>
    <t>Coordinate entry format: decimal degrees 'lat, lon' with west longitudes negative, e.g. 60.67854, -151.38001.</t>
  </si>
  <si>
    <t>public_agrees_with_fix</t>
  </si>
  <si>
    <t>why</t>
  </si>
  <si>
    <t>your_answer</t>
  </si>
  <si>
    <t>map: current</t>
  </si>
  <si>
    <t>Privacy: built from id, location, community, delivery-method, capacity and tank-farm id columns only; no contact fields.</t>
  </si>
  <si>
    <t>map: new</t>
  </si>
  <si>
    <t>your_value_2</t>
  </si>
  <si>
    <t>map: suggested</t>
  </si>
  <si>
    <t>farm_suggestion</t>
  </si>
  <si>
    <t>1 Coordinate typos</t>
  </si>
  <si>
    <t>f000917</t>
  </si>
  <si>
    <t>f000120</t>
  </si>
  <si>
    <t>decision</t>
  </si>
  <si>
    <t>Delta Junction</t>
  </si>
  <si>
    <t>2 Possible typos</t>
  </si>
  <si>
    <t>{5AEE4579-120C-418C-965A-911EFB7A4873}</t>
  </si>
  <si>
    <t>notes</t>
  </si>
  <si>
    <t>Kodiak</t>
  </si>
  <si>
    <t>ready</t>
  </si>
  <si>
    <t>57.79468</t>
  </si>
  <si>
    <t>approve</t>
  </si>
  <si>
    <t>tab 6 row</t>
  </si>
  <si>
    <t>f000719</t>
  </si>
  <si>
    <t>{EF7B6BA1-2FF6-404A-9A5F-01A83B09D969}</t>
  </si>
  <si>
    <t>Sand Point</t>
  </si>
  <si>
    <t>set label</t>
  </si>
  <si>
    <t>reject</t>
  </si>
  <si>
    <t>Label = 'Healy Lake'</t>
  </si>
  <si>
    <t>Address verified on AEA raw Bulk fuel facilitiy CSV</t>
  </si>
  <si>
    <t>unchanged</t>
  </si>
  <si>
    <t>JC</t>
  </si>
  <si>
    <t>This tank belongs to Healy Lake, not Delta Junction. Confirmed with satellite imagery</t>
  </si>
  <si>
    <t>set coordinates</t>
  </si>
  <si>
    <t>2026-10-05</t>
  </si>
  <si>
    <t>Delta Junction @ 63.99988, -144.73108 [DEC; matched at AEA 2025 map point] — same position as ours</t>
  </si>
  <si>
    <t>Confirm: keep coordinates, relabel to 'Healy Lake'. Also: should f001773 ('Healy', same spot) become 'Healy Lake'?</t>
  </si>
  <si>
    <t>Not an AEA tank-farm record (source DEC/USCG); its point copies another community's site. Suggested = typical Sand Point site position.</t>
  </si>
  <si>
    <t>Approved as proposed.</t>
  </si>
  <si>
    <t>Kodiak @ 57.79468, -152.39288 [DEC; matched at AEA 2025 map point] — 328.0 km from our position</t>
  </si>
  <si>
    <t>yes</t>
  </si>
  <si>
    <t>f000534</t>
  </si>
  <si>
    <t>Craig</t>
  </si>
  <si>
    <t>4 Wrong label</t>
  </si>
  <si>
    <t>pending</t>
  </si>
  <si>
    <t>undecided</t>
  </si>
  <si>
    <t>The supporting detials in the raw CSV value support the facility being located in Craig. It is just the coordinates that are placed in Coffman Cove</t>
  </si>
  <si>
    <t>Craig @ 56.01727, -132.82800 [AEA; matched at AEA 2025 map point] — same position as ours | nearest 2024-assessment row for Craig: 'Public works fleet fuel' (1,000 gal) 63.1 km from this point</t>
  </si>
  <si>
    <t>Coordinates for the Craig tank farm (your note: label right, position wrong). Suggested 55.47807, -133.14061.</t>
  </si>
  <si>
    <t>f000531</t>
  </si>
  <si>
    <t>Fairbanks</t>
  </si>
  <si>
    <t>Fairbanks @ 64.51251, -165.43030 [DEC; matched at AEA 2025 map point] — same position as ours</t>
  </si>
  <si>
    <t>Decision: relabel to Nome, or keep Fairbanks and give coordinates.</t>
  </si>
  <si>
    <t>f000268</t>
  </si>
  <si>
    <t>f001218</t>
  </si>
  <si>
    <t>{D0D325AD-A296-437B-9213-8A2FD2F3621D}</t>
  </si>
  <si>
    <t>Coldfoot</t>
  </si>
  <si>
    <t>Sand Point @ 53.89709, -166.53998 [DEC; matched at AEA 2025 map point] — same position as ours | nearest 2024-assessment row for Sand Point: 'TDX Sand Point Power Plant Tank Farm' (40,000 gal) 0.0 km from the fix</t>
  </si>
  <si>
    <t>67.27808,-150.26877</t>
  </si>
  <si>
    <t>no — public keeps our current point</t>
  </si>
  <si>
    <t>Confirmed via satelitte imagery on google maps</t>
  </si>
  <si>
    <t>2026-10-06</t>
  </si>
  <si>
    <t>Decision: relabel to Nome, or keep Fairbanks and give coordinates (same point as f000531).</t>
  </si>
  <si>
    <t>f000732</t>
  </si>
  <si>
    <t>Fort Wainwright</t>
  </si>
  <si>
    <t>Coldfoot @ 67.27808, -150.26880 [DEC; matched at AEA 2025 map point] — 802.9 km from our position</t>
  </si>
  <si>
    <t>Military facility, main office in Fort Wainwright, but facility is physically located in Fort Wainwright</t>
  </si>
  <si>
    <t>Not in public file ('Fort Wainwright' is not on the AEDG community list, so the public build dropped it).</t>
  </si>
  <si>
    <t>Confirm relabel to Seward (note says "physically located in Fort Wainwright").</t>
  </si>
  <si>
    <t>f001585</t>
  </si>
  <si>
    <t>Ketchikan</t>
  </si>
  <si>
    <t>Latitude 55.353511° N, Longitude: -131.684099° W</t>
  </si>
  <si>
    <t>This facility is located in Ketchikan and has the incorrect coordinates. Confirmed via raw CSV file</t>
  </si>
  <si>
    <t>Ketchikan @ 58.37549, -134.57501 [DEC; matched at AEA 2025 map point] — same position as ours</t>
  </si>
  <si>
    <t>Confirm: keep label Ketchikan, move to 55.353511, -131.684099.</t>
  </si>
  <si>
    <t>f000129</t>
  </si>
  <si>
    <t>Newtok</t>
  </si>
  <si>
    <t>5 Copied coords</t>
  </si>
  <si>
    <t>drop facility</t>
  </si>
  <si>
    <t>Newtok was relocated and Kipnuk was evacuated due to Typhoon Halong. This facility can be dropped</t>
  </si>
  <si>
    <t>f001250</t>
  </si>
  <si>
    <t>Newtok @ 59.93408, -164.03821 [USCG; matched at AEA 2025 map point] — same position as ours | nearest 2024-assessment row for Newtok: 'Newtok School Tank Farm' (79,544 gal) 116.7 km from this point</t>
  </si>
  <si>
    <t>Confirm: drop the record (or relocate to Mertarvik?).</t>
  </si>
  <si>
    <t>f000283</t>
  </si>
  <si>
    <t>{39943186-EB34-4A7C-B510-E1F60F6E5B77}</t>
  </si>
  <si>
    <t>Nightmute</t>
  </si>
  <si>
    <t>{8D408F52-5CE0-4A95-A586-79D54041D7C7}</t>
  </si>
  <si>
    <t>f001579</t>
  </si>
  <si>
    <t>Bethel</t>
  </si>
  <si>
    <t>Iliamna</t>
  </si>
  <si>
    <t>Noorvik</t>
  </si>
  <si>
    <t>NONE</t>
  </si>
  <si>
    <t>60.79558</t>
  </si>
  <si>
    <t>Confirmed via satellite imagery &amp; address on raw AEA bulk fuel facility CSV</t>
  </si>
  <si>
    <t>relabel to keep farm</t>
  </si>
  <si>
    <t>The raw CSV data lists this address "Alaska Village Electric Cooperative
4831 Eagle Street
Anchorage, Alaska  99503". It seems like this may be apart of the tank farm, but need to confirm</t>
  </si>
  <si>
    <t>2026-10-07</t>
  </si>
  <si>
    <t>Noorvik @ 64.32288, -158.72400 [AEA; matched at AEA 2025 map point] — same position as ours | nearest 2024-assessment row for Noorvik: 'Noorvik Co-located Tank Farm- Native store' (376,000 gal) 299.3 km from this point</t>
  </si>
  <si>
    <t>Keeps farm 621 (Iliamna) in the network: change the label only.</t>
  </si>
  <si>
    <t>Decision + coordinates. Suggested 66.83374, -161.03908 (Noorvik tank farm 434).</t>
  </si>
  <si>
    <t>Approved as proposed. Note: reviewed_on is a future date (looks like spreadsheet auto-fill); please correct.</t>
  </si>
  <si>
    <t>Bethel @ 67.79572, -161.76111 [DEC; matched at AEA 2025 map point] — same position as ours</t>
  </si>
  <si>
    <t>f000093</t>
  </si>
  <si>
    <t>{978F2CF3-F873-42E9-A4F4-4744D455FBA9}</t>
  </si>
  <si>
    <t>New Stuyahok</t>
  </si>
  <si>
    <t>-157.3748</t>
  </si>
  <si>
    <t>Places it at airport</t>
  </si>
  <si>
    <t>2026-10-08</t>
  </si>
  <si>
    <t>RELABEL TO KEEP FARM: relabel this row to 'Iliamna' and keep its position and capacity, so farm 621 is not lost. Farm 621 sits in Iliamna and has NO Iliamna-labelled row; its Tank_Farm_ID appears on no other row in the 2022 or 2025 CSV. Iliamna has 19 other AEA farms; f001404 (AEA, 4,700 gal) sits 26 m away.</t>
  </si>
  <si>
    <t>Nightmute @ 59.75549, -154.90210 [AEA; matched at AEA 2025 map point] — same position as ours | nearest 2024-assessment row for Iliamna: 'Iliamna Airport Tank Farm' (84,000 gal) 0.1 km from this point</t>
  </si>
  <si>
    <t>no — public keeps the current label</t>
  </si>
  <si>
    <t>New Stuyahok @ 59.45709, -159.37482 [DEC; matched at AEA 2025 map point] — same position as ours | nearest 2024-assessment row for New Stuyahok: 'New Stuyahok School' (103,604 gal) 3.0 km from the fix</t>
  </si>
  <si>
    <t>f000632</t>
  </si>
  <si>
    <t>{E4CF3B9E-8613-49C3-94A8-E46B9248AE34}</t>
  </si>
  <si>
    <t>{4533136B-B178-4EEB-8F4E-1BBF21C03ABE}</t>
  </si>
  <si>
    <t>-145.731094</t>
  </si>
  <si>
    <t>Perryville</t>
  </si>
  <si>
    <t>set coordinates + review capacity</t>
  </si>
  <si>
    <t>Healy Lake</t>
  </si>
  <si>
    <t>Move to Perryville's own tank-farm area; capacity on this row is the farm 621 total from Iliamna — treat as unknown.</t>
  </si>
  <si>
    <t>Marked 'reject' (no coordinate change) but your_value gives a new label, so recorded as: keep coordinates, relabel to 'Healy Lake'. Related: f001773 (labelled 'Healy', 14,000 gal Road) sits 175 m away at 64.00031, -144.73444, also at Healy Lake — it is probably 'Healy Lake' too, not Healy (the other 6 Healy sites are ~200 km west). Not yet in your review.</t>
  </si>
  <si>
    <t>f000228</t>
  </si>
  <si>
    <t>Farm 621 sits in Iliamna and has NO Iliamna-labelled row; its Tank_Farm_ID appears on no other row in the 2022 or 2025 CSV. Iliamna has 19 other AEA farms; f001404 (AEA, 4,700 gal) sits 26 m away. Another row on this farm is suggested for relabelling.</t>
  </si>
  <si>
    <t>{0F01BB32-5A29-4652-976C-10E724180102}</t>
  </si>
  <si>
    <t>Petersburg</t>
  </si>
  <si>
    <t>Perryville @ 59.75549, -154.90210 [AEA; matched at AEA 2025 map point] — same position as ours | nearest 2024-assessment row for Perryville: 'Native Village of Perryville Tank Farm' (102,000 gal) 2.0 km from the fix</t>
  </si>
  <si>
    <t>56.736042</t>
  </si>
  <si>
    <t>This tank can be grouped with the community label it is given. It is an AT&amp;T facility that is confirmed via Google Maps satellite imagery, but the tank is located about 55km south of Petersburg</t>
  </si>
  <si>
    <t>no change</t>
  </si>
  <si>
    <t>Rejected: keep the inventory values.</t>
  </si>
  <si>
    <t>Petersburg @ 56.23608, -132.98138 [DEC; matched at AEA 2025 map point] — same position as ours</t>
  </si>
  <si>
    <t>n/a</t>
  </si>
  <si>
    <t>f000950</t>
  </si>
  <si>
    <t>{E8C7FE98-2833-47DB-A566-8D25750D48D2}</t>
  </si>
  <si>
    <t>Napakiak</t>
  </si>
  <si>
    <t>Kwethluk</t>
  </si>
  <si>
    <t>f000486</t>
  </si>
  <si>
    <t>{32574618-B703-4A8E-85F9-35EC4E4EA4A9}</t>
  </si>
  <si>
    <t>Pilot Point</t>
  </si>
  <si>
    <t>Keeps farm 830 (Kwethluk) in the network: change the label only.</t>
  </si>
  <si>
    <t>-157.453889</t>
  </si>
  <si>
    <t>Unclear if this needs to move, but this is another AT&amp;T facility</t>
  </si>
  <si>
    <t>Pilot Point @ 57.57831, -157.05389 [DEC; matched at AEA 2025 map point] — same position as ours | nearest 2024-assessment row for Pilot Point: 'City of Pilot Point Dispensing' (30,000 gal) 31.2 km from this point</t>
  </si>
  <si>
    <t>farm_home</t>
  </si>
  <si>
    <t>farm_lat</t>
  </si>
  <si>
    <t>farm_lon</t>
  </si>
  <si>
    <t>records</t>
  </si>
  <si>
    <t>wrong_label_records</t>
  </si>
  <si>
    <t>f000386</t>
  </si>
  <si>
    <t>home_record_present</t>
  </si>
  <si>
    <t>labels</t>
  </si>
  <si>
    <t>{78CFC821-3DC6-4967-BE1E-BF74D043A62F}</t>
  </si>
  <si>
    <t>Wrangell</t>
  </si>
  <si>
    <t>total_capacity_gal</t>
  </si>
  <si>
    <t>56.436278</t>
  </si>
  <si>
    <t>delivery</t>
  </si>
  <si>
    <t>This is in the correct spot, confirmed by satellite imagery</t>
  </si>
  <si>
    <t>map: farm</t>
  </si>
  <si>
    <t>RELABEL TO KEEP FARM: relabel this row to 'Kwethluk' and keep its position and capacity, so farm 830 is not lost. Farm 830 sits in Kwethluk and has NO Kwethluk-labelled row; its Tank_Farm_ID appears on no other row in the 2022 or 2025 CSV. Nearest Kwethluk records are DEC sites 219 m away with different capacities.</t>
  </si>
  <si>
    <t>Napakiak @ 60.81091, -161.42249 [AEA; matched at AEA 2025 map point] — same position as ours | nearest 2024-assessment row for Kwethluk: 'Kwethluk corporation tank farm' (394,500 gal) 0.2 km from this point</t>
  </si>
  <si>
    <t>Wrangell @ 56.13629, -132.40491 [DEC; matched at AEA 2025 map point] — same position as ours</t>
  </si>
  <si>
    <t>Aniak</t>
  </si>
  <si>
    <t>f000140</t>
  </si>
  <si>
    <t>{83F3B425-DC65-4A0B-94B5-14D3D08E5901}</t>
  </si>
  <si>
    <t>Aniak, Chuathbaluk, Lower Kalskag, Red Devil, Upper Kalskag, Upper Kalskag</t>
  </si>
  <si>
    <t>Toksook Bay</t>
  </si>
  <si>
    <t>Barge</t>
  </si>
  <si>
    <t>3 Swapped coords</t>
  </si>
  <si>
    <t>f001606</t>
  </si>
  <si>
    <t>{A5E8D42A-4A72-4380-B9D4-5CC0084B55D2}</t>
  </si>
  <si>
    <t>Unalaska</t>
  </si>
  <si>
    <t>Move to Toksook Bay's own tank-farm area; capacity on this row is the farm 830 total from Kwethluk — treat as unknown.</t>
  </si>
  <si>
    <t>53.88274,-166.550742</t>
  </si>
  <si>
    <t>confirmed on AEA raw bulk fuel facility CSV</t>
  </si>
  <si>
    <t>Unalaska @ 63.89209, -160.68420 [DEC; matched at AEA 2025 map point] — same position as ours</t>
  </si>
  <si>
    <t>Farm 830 sits in Kwethluk and has NO Kwethluk-labelled row; its Tank_Farm_ID appears on no other row in the 2022 or 2025 CSV. Nearest Kwethluk records are DEC sites 219 m away with different capacities. Another row on this farm is suggested for relabelling.</t>
  </si>
  <si>
    <t>Toksook Bay @ 60.81091, -161.42249 [AEA; matched at AEA 2025 map point] — same position as ours | nearest 2024-assessment row for Toksook Bay: 'Toksook Bay Shared Tank Farm' (309,996 gal) 0.1 km from the fix</t>
  </si>
  <si>
    <t>Fort Yukon</t>
  </si>
  <si>
    <t>f000147</t>
  </si>
  <si>
    <t>Fort Yukon, Galena</t>
  </si>
  <si>
    <t>{621FCC2F-3A90-426E-A211-00250864F71E}</t>
  </si>
  <si>
    <t>f001269</t>
  </si>
  <si>
    <t>Plane or Barge</t>
  </si>
  <si>
    <t>Unalakleet</t>
  </si>
  <si>
    <t>63.89194,-160.6842</t>
  </si>
  <si>
    <t>{5C01B036-AAC1-4876-BF5E-30428802A639}</t>
  </si>
  <si>
    <t>Chefornak</t>
  </si>
  <si>
    <t>Atmautluak</t>
  </si>
  <si>
    <t>Unalakleet @ 53.88287, -166.55072 [DEC; matched at AEA 2025 map point] — same position as ours</t>
  </si>
  <si>
    <t>Keeps farm 710 (Atmautluak) in the network: change the label only.</t>
  </si>
  <si>
    <t>Galena</t>
  </si>
  <si>
    <t>Galena, Galena, Hooper Bay</t>
  </si>
  <si>
    <t>{5CE97A73-0D33-4600-836B-A3E084CE3826}</t>
  </si>
  <si>
    <t>Coffman Cove</t>
  </si>
  <si>
    <t>RELABEL TO KEEP FARM: relabel this row to 'Atmautluak' and keep its position and capacity, so farm 710 is not lost. Farm 710 sits in Atmautluak and has NO Atmautluak-labelled row; its Tank_Farm_ID appears on no other row in the 2022 or 2025 CSV. Atmautluak has NO AEA farm record anywhere in the CSV; its DEC/USCG records are 160–200 m away with different capacities.</t>
  </si>
  <si>
    <t>Chefornak @ 60.85687, -162.27649 [AEA; matched at AEA 2025 map point] — same position as ours | nearest 2024-assessment row for Atmautluak: 'Atmautluak Utility and Atmautluak Limited' (194,367 gal) 0.1 km from this point</t>
  </si>
  <si>
    <t>Ambler</t>
  </si>
  <si>
    <t>No decision yet. Your note says the label (Craig) is right and the coordinates are wrong, so this needs a coordinate fix, not a relabel. Cause: AEA tank-farm table puts farm 8 at Coffman Cove. Suggested value: 55.47807, -133.14061 (typical Craig site) or your own read of the tank farm.</t>
  </si>
  <si>
    <t>Holy Cross, Wales</t>
  </si>
  <si>
    <t>f001632</t>
  </si>
  <si>
    <t>{DACE43E7-3929-4EAF-A8BD-A30101E62AD1}</t>
  </si>
  <si>
    <t>removed in 2025 file</t>
  </si>
  <si>
    <t>drop record</t>
  </si>
  <si>
    <t>AEA removed this record in the Dec 2025 file (a second copy of the same label on the same farm).</t>
  </si>
  <si>
    <t>f000508</t>
  </si>
  <si>
    <t>Koyukuk</t>
  </si>
  <si>
    <t>{B15A52C6-6F30-470D-9BA8-5037E9F1F1EC}</t>
  </si>
  <si>
    <t>Eielson Afb</t>
  </si>
  <si>
    <t>Anchorage</t>
  </si>
  <si>
    <t>Kaltag, Koyukuk</t>
  </si>
  <si>
    <t>Located on JBER and labeled as JBER on raw CSV table</t>
  </si>
  <si>
    <t>Eielson AFB @ 61.24591, -149.71069 [DEC; matched at AEA 2025 map point] — same position as ours (label 'Eielson Afb' → 'Eielson AFB')</t>
  </si>
  <si>
    <t>Farm 710 sits in Atmautluak and has NO Atmautluak-labelled row; its Tank_Farm_ID appears on no other row in the 2022 or 2025 CSV. Atmautluak has NO AEA farm record anywhere in the CSV; its DEC/USCG records are 160–200 m away with different capacities. Another row on this farm is suggested for relabelling.</t>
  </si>
  <si>
    <t>Not in public file — AEA deleted this record in its 2025 release (the public file is built on that release).</t>
  </si>
  <si>
    <t>Brevig Mission</t>
  </si>
  <si>
    <t>Brevig Mission, Chevak, Nightmute, Stebbins, Toksook Bay, Tununak</t>
  </si>
  <si>
    <t>f001192</t>
  </si>
  <si>
    <t>f001448</t>
  </si>
  <si>
    <t>{BFC59C95-ABE4-4959-BE52-7F09A5308991}</t>
  </si>
  <si>
    <t>{72E67206-F008-47E9-AE98-4C85EAD98765}</t>
  </si>
  <si>
    <t>Kipnuk</t>
  </si>
  <si>
    <t>Located in Fort Yukon. The University of Alaska Fairbanks most likely caused the switch</t>
  </si>
  <si>
    <t>Farm 710 (Atmautluak, 24,700 gal) has NO Atmautluak-labelled record; consider relabelling ONE of these 7 rows to 'Atmautluak' (keep its position) and moving the rest.</t>
  </si>
  <si>
    <t>Fairbanks @ 66.56409, -145.25879 [DEC; matched at AEA 2025 map point] — same position as ours | nearest 2024-assessment row for Fort Yukon: 'Fort Yukon School Tank Farm' (40,000 gal) 0.2 km from this point</t>
  </si>
  <si>
    <t>{2B48564F-DF5A-4814-B2B3-21E3157048CA}</t>
  </si>
  <si>
    <t>Kipnuk @ 60.85687, -162.27649 [AEA; matched at AEA 2025 map point] — same position as ours | nearest 2024-assessment row for Kipnuk: 'Kipnuk School Tank Farm' (175,000 gal) 0.4 km from the fix</t>
  </si>
  <si>
    <t>Nome</t>
  </si>
  <si>
    <t>f000627</t>
  </si>
  <si>
    <t>No decision yet. Both Fairbanks-labelled rows share one point in Nome (64.51252, -165.43030) and come from the same source; decide them together.</t>
  </si>
  <si>
    <t>{AE061686-3F3E-4156-A901-5DDB6E3F0237}</t>
  </si>
  <si>
    <t>Buckland</t>
  </si>
  <si>
    <t>Buckland, Chefornak, Kongiganak, Koyukuk, Kwigillingok</t>
  </si>
  <si>
    <t>{9D56DBE7-1A09-4398-8622-73AF3113418C}</t>
  </si>
  <si>
    <t>Kaktovik</t>
  </si>
  <si>
    <t>Kaktovik, Kaktovik, Point Lay</t>
  </si>
  <si>
    <t>Nightmute @ 60.85687, -162.27649 [AEA; matched at AEA 2025 map point] — same position as ours | nearest 2024-assessment row for Nightmute: 'Nightmute Shared Tank Farm' (158,000 gal) 0.3 km from the fix</t>
  </si>
  <si>
    <t>{BDC6AEBD-A6BF-4D0C-929B-36D15018837C}</t>
  </si>
  <si>
    <t>f000649</t>
  </si>
  <si>
    <t>Seward</t>
  </si>
  <si>
    <t>{96705E92-63AB-41A0-B0E8-52639E90CEC8}</t>
  </si>
  <si>
    <t>Tuntutuliak</t>
  </si>
  <si>
    <t>Military facility, main office in Fort Wainwright, but facility is physically located in Seward</t>
  </si>
  <si>
    <t>Kaktovik, Wainwright</t>
  </si>
  <si>
    <t>Approved as proposed. Approved relabel to Seward, but the note says 'physically located in Fort Wainwright'. Did you mean Seward? Please confirm.</t>
  </si>
  <si>
    <t>Kiana</t>
  </si>
  <si>
    <t>Tuntutuliak @ 60.85687, -162.27649 [AEA; matched at AEA 2025 map point] — same position as ours | nearest 2024-assessment row for Tuntutuliak: 'Lewis Angapak Memorial School Tank Farm' (75,000 gal) 0.4 km from the fix</t>
  </si>
  <si>
    <t>{BFF9DB9E-CA56-440D-B966-058492E9DF73}</t>
  </si>
  <si>
    <t>Kiana, Noorvik, Noorvik</t>
  </si>
  <si>
    <t>Juneau</t>
  </si>
  <si>
    <t>f000872</t>
  </si>
  <si>
    <t>{D32639C4-3E15-4313-904F-B53FE9C4C207}</t>
  </si>
  <si>
    <t>Tununak</t>
  </si>
  <si>
    <t>Marked 'reject' (no relabel) but your_value gives coordinates, so recorded as: keep label 'Ketchikan', move to 55.353511, -131.684099.</t>
  </si>
  <si>
    <t>Kiana, Selawik</t>
  </si>
  <si>
    <t>f000358</t>
  </si>
  <si>
    <t>{BACAEA02-40B4-467A-B3B9-39C3197CF50D}</t>
  </si>
  <si>
    <t>King Cove</t>
  </si>
  <si>
    <t>King Salmon</t>
  </si>
  <si>
    <t>Address is located in King Salmon, verified via satellite imagery</t>
  </si>
  <si>
    <t>King Cove @ 58.68390, -156.67212 [DEC; matched at AEA 2025 map point] — same position as ours</t>
  </si>
  <si>
    <t>Tununak @ 60.85687, -162.27649 [AEA; matched at AEA 2025 map point] — same position as ours | nearest 2024-assessment row for Tununak: 'Tununak Shared Tank Farm' (192,600 gal) 0.2 km from the fix</t>
  </si>
  <si>
    <t>Gambell</t>
  </si>
  <si>
    <t>f000368</t>
  </si>
  <si>
    <t>{558BB9D2-4F54-4E1C-95C2-9295EBEAC1CD}</t>
  </si>
  <si>
    <t>f001399</t>
  </si>
  <si>
    <t>Gambell, Savoonga</t>
  </si>
  <si>
    <t>{EE49D47C-9B92-431B-9D0B-77844BA21CF8}</t>
  </si>
  <si>
    <t>Stevens Village</t>
  </si>
  <si>
    <t>Arctic Village</t>
  </si>
  <si>
    <t>Confirmed on satellie imagery that it is a school in Arctic Village</t>
  </si>
  <si>
    <t>Stevens Village @ 68.12848, -145.53552 [AEA; matched at AEA 2025 map point] — same position as ours | nearest 2024-assessment row for Arctic Village: 'Shared Tank Farm' (35,040 gal) 1.7 km from this point</t>
  </si>
  <si>
    <t>Nightmute, Perryville</t>
  </si>
  <si>
    <t>f001469</t>
  </si>
  <si>
    <t>{835A9532-B50F-4307-8766-44E644F988D9}</t>
  </si>
  <si>
    <t>Kenai</t>
  </si>
  <si>
    <t>60.58319,-151.30288</t>
  </si>
  <si>
    <t>approve with my value</t>
  </si>
  <si>
    <t>60.67854° N, 151.38001° W</t>
  </si>
  <si>
    <t>The address is noted as 48237 Kenai Spur Hwy, Kenai, AK 99611 on the raw CSV data</t>
  </si>
  <si>
    <t>f000896</t>
  </si>
  <si>
    <t>Your value '60.67854° N, 151.38001° W' read as 60.67854, -151.38001 (north latitude, west = negative longitude).</t>
  </si>
  <si>
    <t>{3EDD2A9C-65E1-4B69-95C6-B86EF44C2A59}</t>
  </si>
  <si>
    <t>Kenai @ 64.85608, -147.80261 [DEC; matched at AEA 2025 map point] — same position as ours</t>
  </si>
  <si>
    <t>Lower Kalskag</t>
  </si>
  <si>
    <t>Saint Michael, Saint Michael, Savoonga, Teller</t>
  </si>
  <si>
    <t>f001726</t>
  </si>
  <si>
    <t>Move to Lower Kalskag's own tank-farm area; capacity on this row is the farm 108 total from Aniak — treat as unknown.</t>
  </si>
  <si>
    <t>Stebbins</t>
  </si>
  <si>
    <t>f000292</t>
  </si>
  <si>
    <t>{6D4B4A33-4BA6-4F24-B682-8F598BC19947}</t>
  </si>
  <si>
    <t>Klawock</t>
  </si>
  <si>
    <t>Stebbins, White Mountain</t>
  </si>
  <si>
    <t>55.55317,-133.08533</t>
  </si>
  <si>
    <t xml:space="preserve"> 55.55068° N, -133.09671° W</t>
  </si>
  <si>
    <t>The facility was confirmed and lat/long was manually found</t>
  </si>
  <si>
    <t>Your value '55.55068° N, -133.09671° W' read as 55.55068, -133.09671 (north latitude, west = negative longitude).</t>
  </si>
  <si>
    <t>Klawock @ 66.54932, -152.63269 [AEA; matched at AEA 2025 map point] — same position as ours</t>
  </si>
  <si>
    <t>Farm 108 sits in Aniak; its own record is f001726. Keep that row as the farm; this row is a copy under another community's name.</t>
  </si>
  <si>
    <t>Chefornak, Chefornak, Kipnuk, Nightmute, Tuntutuliak, Tununak, Tununak</t>
  </si>
  <si>
    <t>Lower Kalskag @ 61.57312, -159.24902 [AEA; matched at AEA 2025 map point] — 16.0 km from our position | nearest 2024-assessment row for Lower Kalskag: 'Lower Elementary School Tank Farm' (21,000 gal) 0.1 km from the fix</t>
  </si>
  <si>
    <t>no — public point is 59.4 km from the fix</t>
  </si>
  <si>
    <t>f001398</t>
  </si>
  <si>
    <t>{FE1C1D96-F623-4694-ADA9-82D02F405415}</t>
  </si>
  <si>
    <t>{A6656A06-FB6E-44F6-8DEB-0A79C30970C9}</t>
  </si>
  <si>
    <t>Red Devil</t>
  </si>
  <si>
    <t>60.94047,-164.63101</t>
  </si>
  <si>
    <t>Napakiak, Toksook Bay</t>
  </si>
  <si>
    <t>Move to Red Devil's own tank-farm area; capacity on this row is the farm 108 total from Aniak — treat as unknown.</t>
  </si>
  <si>
    <t>Marked 'reject' with a note that the facility can be dropped, so recorded as: exclude this record from the build. Alternative to dropping: Newtok's residents relocated to Mertarvik; if the tank moved too, relocate rather than drop. Your call.</t>
  </si>
  <si>
    <t>Atqasuk</t>
  </si>
  <si>
    <t>{056D0E34-0F8F-4089-8FD4-38E6687C1E94}</t>
  </si>
  <si>
    <t>Red Devil @ 61.57312, -159.24902 [AEA; matched at AEA 2025 map point] — 16.0 km from our position | nearest 2024-assessment row for Red Devil: 'Red Devil School Tank Farm' (12,000 gal) 0.1 km from the fix</t>
  </si>
  <si>
    <t>no — public point is 103.6 km from the fix</t>
  </si>
  <si>
    <t>66.83375,-161.039</t>
  </si>
  <si>
    <t>Atqasuk, Kaktovik, Nuiqsut</t>
  </si>
  <si>
    <t>f000653</t>
  </si>
  <si>
    <t>No decision yet. Finding: this is AEA tank farm 432, whose point in AEA's farm table is at Kaltag. Noorvik's other farms are at 66.83, -161.04 (AEA also moved a different Noorvik record there in Dec 2025). Suggested value: 66.83374, -161.03908 (AEA farm 434).</t>
  </si>
  <si>
    <t>{405CC19C-36AB-4808-8AB1-CDE994AED352}</t>
  </si>
  <si>
    <t>Upper Kalskag</t>
  </si>
  <si>
    <t>Move to Upper Kalskag's own tank-farm area; capacity on this row is the farm 108 total from Aniak — treat as unknown.</t>
  </si>
  <si>
    <t>Atqasuk, Kaktovik, Nuiqsut, Point Hope, Point Lay</t>
  </si>
  <si>
    <t>Plane</t>
  </si>
  <si>
    <t>7 Spelling variants</t>
  </si>
  <si>
    <t>f001783</t>
  </si>
  <si>
    <t>{60E9F7B5-8A63-4781-81E6-69A693BAD37D}</t>
  </si>
  <si>
    <t>Clarks Point</t>
  </si>
  <si>
    <t>Clark's Point</t>
  </si>
  <si>
    <t>Approved as proposed. reviewed_by / reviewed_on left blank.</t>
  </si>
  <si>
    <t>Clark's Point @ 58.83630, -158.54449 [DEC; matched at AEA 2025 map point] — same position as ours (label 'Clarks Point' → 'Clark's Point') | nearest 2024-assessment row for Clark's Point: 'City of Clark’s Point' (78,000 gal) 0.6 km from this point</t>
  </si>
  <si>
    <t>Upper Kalskag @ 61.57312, -159.24902 [AEA; matched at AEA 2025 map point] — 16.0 km from our position | nearest 2024-assessment row for Upper Kalskag: 'Old Upper Elementray School Tank Farm' (16,000 gal) 0.3 km from the fix</t>
  </si>
  <si>
    <t>no — public point is 56.7 km from the fix</t>
  </si>
  <si>
    <t>Atqasuk, Nuiqsut, Point Lay</t>
  </si>
  <si>
    <t>f000836</t>
  </si>
  <si>
    <t>{A683A9D1-FB48-4678-8EFF-35498B21F2A5}</t>
  </si>
  <si>
    <t>f001658</t>
  </si>
  <si>
    <t>{4BEF8811-2274-4D00-AC1C-998D040903CB}</t>
  </si>
  <si>
    <t>Clark's Point @ 58.83691, -158.52930 [DEC; matched at AEA 2025 map point] — same position as ours (label 'Clarks Point' → 'Clark's Point') | nearest 2024-assessment row for Clark's Point: 'City of Clark’s Point' (78,000 gal) 1.5 km from this point</t>
  </si>
  <si>
    <t>context: farm record</t>
  </si>
  <si>
    <t>{EE90D296-0F4B-47F2-A7ED-8AAE074E53AD}</t>
  </si>
  <si>
    <t>f000037</t>
  </si>
  <si>
    <t>{14E28DA5-69A4-4D2F-BB92-286834F0B46F}</t>
  </si>
  <si>
    <t>Saint Marys</t>
  </si>
  <si>
    <t>keep (farm record)</t>
  </si>
  <si>
    <t>Saint Mary's</t>
  </si>
  <si>
    <t>Correct farm record: label matches where the farm sits. No change; listed for context (not in the original tab 6).</t>
  </si>
  <si>
    <t>Saint Mary's @ 62.05768, -163.29480 [DEC; matched at AEA 2025 map point] — same position as ours (label 'Saint Marys' → 'Saint Mary's') | nearest 2024-assessment row for Saint Mary's: 'St Mary’s School Tank Farm' (76,682 gal) 6.0 km from this point</t>
  </si>
  <si>
    <t>This IS farm 108's own record.</t>
  </si>
  <si>
    <t>Aniak @ 61.58087, -159.55103 [AEA; matched at AEA 2025 map point] — same position as ours | nearest 2024-assessment row for Aniak: 'Aniak School Tank Farm' (60,000 gal) 0.0 km from this point</t>
  </si>
  <si>
    <t>What is going wrong with the shared-point records</t>
  </si>
  <si>
    <t>f001832</t>
  </si>
  <si>
    <t>{E7455FE8-21D1-4DB9-B9A2-3E131F07722C}</t>
  </si>
  <si>
    <t>f001717</t>
  </si>
  <si>
    <t>Saint Mary's @ 62.05151, -163.17511 [DEC; matched at AEA 2025 map point] — same position as ours (label 'Saint Marys' → 'Saint Mary's') | nearest 2024-assessment row for Saint Mary's: 'AVEC Tank Farm' (414,000 gal) 0.2 km from this point</t>
  </si>
  <si>
    <t>{3758A00D-FA89-45EA-85FB-DE30F19E5DBC}</t>
  </si>
  <si>
    <t>1. These are AEA tank-farm records with the wrong Tank_Farm_ID.</t>
  </si>
  <si>
    <t>White Mountain</t>
  </si>
  <si>
    <t>f000298</t>
  </si>
  <si>
    <t xml:space="preserve">  • All 665 AEA-sourced rows (the ones with no ASTFacilityID) take their coordinates from their Tank_Farm_ID: each of the 558 farm IDs has exactly one coordinate.</t>
  </si>
  <si>
    <t xml:space="preserve">  • 21 farm IDs are attached to records from 2–6 different communities. Every record on a shared farm ID carries that farm's coordinates, Total_Capacity, Tank_Farm_Evaluation_ID, delivery method, inspection date and source link — identical across the group.</t>
  </si>
  <si>
    <t xml:space="preserve">  • Only the community name (and community ID) differs. The rows have no facility-level detail of their own: entity, tank category and per-fuel capacities are blank.</t>
  </si>
  <si>
    <t>Move to White Mountain's own tank-farm area; capacity on this row is the farm 706 total from Stebbins — treat as unknown.</t>
  </si>
  <si>
    <t xml:space="preserve">  • So the community label is the record's own data; the position and capacity were borrowed from the wrong farm. All 51 shared-point facilities in tab 6 fit this pattern.</t>
  </si>
  <si>
    <t>f000451</t>
  </si>
  <si>
    <t>{FB96C24B-7E2D-41A4-BB41-17A5FC20670F}</t>
  </si>
  <si>
    <t>2. Evidence that the label (not the position) is right:</t>
  </si>
  <si>
    <t xml:space="preserve">  • In AEA's Dec 2025 file, 3 such records (Hooper Bay f000650, Noorvik f001339, Point Lay f001019) had their map point moved INTO their labelled community — AEA treats them as real facilities there.</t>
  </si>
  <si>
    <t xml:space="preserve">  • AEA also deleted 9 of the 51 in 2025: 5 were second copies of the same label on the same farm (e.g. a second Chefornak and a second Tununak on farm 710); the other 4 were the whole Kaktovik/Nuiqsut/Point Hope/Point Lay set on Atqasuk farm 1094.</t>
  </si>
  <si>
    <t xml:space="preserve">  • The rows' CommunityID always matches the community name.</t>
  </si>
  <si>
    <t>3. What it does to the network:</t>
  </si>
  <si>
    <t>Saint Mary's @ 62.05188, -163.17249 [DEC; matched at AEA 2025 map point] — same position as ours (label 'Saint Marys' → 'Saint Mary's') | nearest 2024-assessment row for Saint Mary's: 'AVEC Tank Farm' (414,000 gal) 0.1 km from this point</t>
  </si>
  <si>
    <t xml:space="preserve">  • The data repo's 50 m consolidation merges each shared point into ONE site named after the first CSV row, giving phantom hubs such as Hub_387 'Chefornak' at Atmautluak (which then overwrote the real Atmautluak hub in snapping).</t>
  </si>
  <si>
    <t xml:space="preserve">  • The labelled communities lose those records from their own hubs.</t>
  </si>
  <si>
    <t xml:space="preserve">  • Total_Capacity on these rows is the borrowed farm's total, repeated per row: about 1.88 million gal is double-counted wherever rows are kept separately.</t>
  </si>
  <si>
    <t>4. Options (record your choice per row in 'Stacks review'):</t>
  </si>
  <si>
    <t xml:space="preserve">  A. Move each record to its labelled community's own tank-farm area (suggested_lat/lon = typical AEA farm point for that community) and treat its capacity as unknown. Keeps the record, removes the phantom hubs. Recommended.</t>
  </si>
  <si>
    <t xml:space="preserve">  B. Drop the records entirely — reasonable for the 9 AEA already deleted, risky for the rest since AEA kept them.</t>
  </si>
  <si>
    <t>f001107</t>
  </si>
  <si>
    <t xml:space="preserve">  C. Ask AEA for the correct Tank_Farm_IDs. The real fix: once the ID is right, both position and capacity come out right.</t>
  </si>
  <si>
    <t xml:space="preserve">  D. Farm 710 (Atmautluak, 24,700 gal) has no Atmautluak-labelled record at all; whichever option you choose, consider relabelling one copy to Atmautluak so the farm itself is not lost.</t>
  </si>
  <si>
    <t>{D74EF297-A73B-4181-A759-56C37FDE41DF}</t>
  </si>
  <si>
    <t>Farm 706 sits in Stebbins; its own record is f000298. Keep that row as the farm; this row is a copy under another community's name.</t>
  </si>
  <si>
    <t>5. Related, but a different failure: a farm's own point is wrong in AEA's farm table (single-community farms).</t>
  </si>
  <si>
    <t>White Mountain @ 63.51569, -162.28558 [AEA; matched at AEA 2025 map point] — same position as ours | nearest 2024-assessment row for White Mountain: 'White Mountain Tank Farm' (276,000 gal) 0.2 km from the fix</t>
  </si>
  <si>
    <t xml:space="preserve">  • Farm 432 (Noorvik f001579) sits at Kaltag; farm 1110 (Klawock f000292) at Allakaket; farm 8 (Craig f000534) at Coffman Cove. Here the farm ID is right but the farm table's coordinate is wrong.</t>
  </si>
  <si>
    <t xml:space="preserve">  • Records from other sources (DEC: Kenai f001469, Ketchikan f001585, Delta Junction/Healy f000917/f001773; USCG: Newtok f000129) have independent coordinate errors.</t>
  </si>
  <si>
    <t>6. Ask AEA to:</t>
  </si>
  <si>
    <t xml:space="preserve">  (1) check the Tank_Farm_ID on the 51 records listed in 'Stacks review';</t>
  </si>
  <si>
    <t>Saint Mary's @ 62.06091, -163.30182 [DEC; matched at AEA 2025 map point] — same position as ours (label 'Saint Marys' → 'Saint Mary's') | nearest 2024-assessment row for Saint Mary's: 'St Mary’s School Tank Farm' (76,682 gal) 6.4 km from this point</t>
  </si>
  <si>
    <t xml:space="preserve">  (2) fix the farm-table coordinates for farms 8, 432 and 1110;</t>
  </si>
  <si>
    <t xml:space="preserve">  (3) update ASTFacilityLatitude/Longitude when they move a map point — their Dec 2025 edits changed the geometry only.</t>
  </si>
  <si>
    <t>{95AE33D6-5B7B-453A-AC8B-95782D829675}</t>
  </si>
  <si>
    <t>f000726</t>
  </si>
  <si>
    <t>{8AD14672-6D41-4612-9C63-B8526F36290D}</t>
  </si>
  <si>
    <t>Saint Mary's @ 62.05292, -163.18121 [DEC; matched at AEA 2025 map point] — same position as ours (label 'Saint Marys' → 'Saint Mary's') | nearest 2024-assessment row for Saint Mary's: 'St Mary’s School Tank Farm' (76,682 gal) 0.1 km from this point</t>
  </si>
  <si>
    <t>This IS farm 706's own record.</t>
  </si>
  <si>
    <t>Stebbins @ 63.51569, -162.28558 [AEA; matched at AEA 2025 map point] — same position as ours | nearest 2024-assessment row for Stebbins: 'AVEC Power Plant Tank Farm' (410,000 gal) 0.6 km from this point</t>
  </si>
  <si>
    <t>f000266</t>
  </si>
  <si>
    <t>{15B249BC-700E-47F6-A75F-F39B21D66AD6}</t>
  </si>
  <si>
    <t>Saint George Island</t>
  </si>
  <si>
    <t>Saint George</t>
  </si>
  <si>
    <t>f000832</t>
  </si>
  <si>
    <t>{C8EC9D39-F5C7-4B8E-94A5-4B7BE891EF44}</t>
  </si>
  <si>
    <t>Savoonga</t>
  </si>
  <si>
    <t>Saint George @ 56.57233, -169.67108 [DEC; matched at AEA 2025 map point] — same position as ours (label 'Saint George Island' → 'Saint George')</t>
  </si>
  <si>
    <t>f000603</t>
  </si>
  <si>
    <t>Move to Savoonga's own tank-farm area; capacity on this row is the farm 565 total from Gambell — treat as unknown.</t>
  </si>
  <si>
    <t>f000879</t>
  </si>
  <si>
    <t>{9F3D036A-E04E-431E-919E-5677FE81308D}</t>
  </si>
  <si>
    <t>Saint George @ 56.57727, -169.66351 [DEC; matched at AEA 2025 map point] — same position as ours (label 'Saint George Island' → 'Saint George')</t>
  </si>
  <si>
    <t>f001280</t>
  </si>
  <si>
    <t>{1FF8EE87-BBCC-416D-9B93-4AE5B2704310}</t>
  </si>
  <si>
    <t>Farm 565 sits in Gambell; its own record is f000603. Keep that row as the farm; this row is a copy under another community's name.</t>
  </si>
  <si>
    <t>Savoonga @ 63.77911, -171.73401 [AEA; matched at AEA 2025 map point] — same position as ours | nearest 2024-assessment row for Savoonga: 'Savoonga City Bulk Fuel Tank Farm' (303,000 gal) 0.2 km from the fix</t>
  </si>
  <si>
    <t>Saint George @ 56.60291, -169.54321 [DEC; matched at AEA 2025 map point] — same position as ours (label 'Saint George Island' → 'Saint George')</t>
  </si>
  <si>
    <t>{ECBCD8D2-3AC3-4138-99A9-100BBD56D4ED}</t>
  </si>
  <si>
    <t>f000057</t>
  </si>
  <si>
    <t>{569725C5-F6E9-4B28-96C7-8BDF5BCB6C06}</t>
  </si>
  <si>
    <t>Saint Paul Island</t>
  </si>
  <si>
    <t>Saint Paul</t>
  </si>
  <si>
    <t>Saint Paul @ 57.15051, -170.25061 [DEC; matched at AEA 2025 map point] — same position as ours (label 'Saint Paul Island' → 'Saint Paul')</t>
  </si>
  <si>
    <t>This IS farm 565's own record.</t>
  </si>
  <si>
    <t>Gambell @ 63.77911, -171.73401 [AEA; matched at AEA 2025 map point] — same position as ours | nearest 2024-assessment row for Gambell: 'Gambell School Tank Farm' (40,722 gal) 1.0 km from this point</t>
  </si>
  <si>
    <t>f000464</t>
  </si>
  <si>
    <t>f000269</t>
  </si>
  <si>
    <t>{66E08F69-68FD-40AD-99B3-7A2007C0697D}</t>
  </si>
  <si>
    <t>{94FF39D9-B453-4A2D-BD74-6A160024C80D}</t>
  </si>
  <si>
    <t>f000269, f000842</t>
  </si>
  <si>
    <t>Saint Paul @ 57.15808, -170.22980 [DEC; matched at AEA 2025 map point] — same position as ours (label 'Saint Paul Island' → 'Saint Paul')</t>
  </si>
  <si>
    <t>f000002</t>
  </si>
  <si>
    <t>{7AFEC631-2122-4F7A-AA44-2584FAFBC1D0}</t>
  </si>
  <si>
    <t>This IS farm 171's own record.</t>
  </si>
  <si>
    <t>Galena @ 64.73389, -156.91882 [AEA; matched at AEA 2025 map point] — same position as ours | nearest 2024-assessment row for Galena: 'Galena Airport Complex' (47,860 gal) 1.6 km from this point</t>
  </si>
  <si>
    <t>Saint Paul @ 57.15790, -170.22058 [DEC; matched at AEA 2025 map point] — same position as ours (label 'Saint Paul Island' → 'Saint Paul')</t>
  </si>
  <si>
    <t>f000842</t>
  </si>
  <si>
    <t>{C9FC7970-46A5-4E7A-B070-693B758A6505}</t>
  </si>
  <si>
    <t>Second copy of the farm record; AEA removed it in 2025.</t>
  </si>
  <si>
    <t>f001566</t>
  </si>
  <si>
    <t>{8D19934A-76B9-4669-B600-BFECB43DCCF3}</t>
  </si>
  <si>
    <t>f000650</t>
  </si>
  <si>
    <t>{5283F15A-66DA-4487-8444-EC1A2C43934D}</t>
  </si>
  <si>
    <t>Hooper Bay</t>
  </si>
  <si>
    <t>Saint Paul @ 57.12469, -170.28387 [DEC; matched at AEA 2025 map point] — same position as ours (label 'Saint Paul Island' → 'Saint Paul')</t>
  </si>
  <si>
    <t>map point corrected Dec 2025</t>
  </si>
  <si>
    <t>set coordinates (AEA 2025 point)</t>
  </si>
  <si>
    <t>AEA moved this record into Hooper Bay in Dec 2025: use 61.52991, -166.1037. Capacity on this row is the other farm's total — treat as unknown.</t>
  </si>
  <si>
    <t>f001560</t>
  </si>
  <si>
    <t>{52B7BAA3-AC93-4AF7-8E9A-0DEEE954C6EE}</t>
  </si>
  <si>
    <t>Saint Paul @ 57.12109, -170.27948 [DEC; matched at AEA 2025 map point] — same position as ours (label 'Saint Paul Island' → 'Saint Paul')</t>
  </si>
  <si>
    <t>Farm 171 sits in Galena; its own record is f000269, f000842. Keep that row as the farm; this row is a copy under another community's name.</t>
  </si>
  <si>
    <t>Hooper Bay @ 61.52991, -166.10370 [AEA; matched at AEA 2025 map point] — 583.8 km from our position | nearest 2024-assessment row for Hooper Bay: 'Hooper Bay AVEC Tank Farm' (213,240 gal) 0.1 km from the fix</t>
  </si>
  <si>
    <t>f000615</t>
  </si>
  <si>
    <t>{C2EE3D68-85C8-4D15-8DCF-735AE274FD08}</t>
  </si>
  <si>
    <t>f001178</t>
  </si>
  <si>
    <t>{267923CC-B079-457C-AE8E-665ECAC1C97E}</t>
  </si>
  <si>
    <t>Saint Paul @ 57.17072, -170.21942 [DEC; matched at AEA 2025 map point] — same position as ours (label 'Saint Paul Island' → 'Saint Paul')</t>
  </si>
  <si>
    <t>f000087</t>
  </si>
  <si>
    <t>{4F994E16-6208-479F-B3B2-22194B179F84}</t>
  </si>
  <si>
    <t>Bettles</t>
  </si>
  <si>
    <t>Bettles Field</t>
  </si>
  <si>
    <t>Bettles @ 66.92352, -151.50812 [AEA; matched at AEA 2025 map point] — same position as ours</t>
  </si>
  <si>
    <t>no — public uses 'Bettles'</t>
  </si>
  <si>
    <t>This IS farm 219's own record.</t>
  </si>
  <si>
    <t>Koyukuk @ 64.87970, -157.71851 [DEC; matched at AEA 2025 map point] — same position as ours | nearest 2024-assessment row for Koyukuk: 'Koyukuk Shared Tank Farm' (116,996 gal) 0.6 km from this point</t>
  </si>
  <si>
    <t>f000466</t>
  </si>
  <si>
    <t>f000554</t>
  </si>
  <si>
    <t>{4EB90598-665E-44BF-BABD-1D75C638BCF2}</t>
  </si>
  <si>
    <t>Kaltag</t>
  </si>
  <si>
    <t>{086531C1-92F4-4C8B-95C4-BA197AAAD587}</t>
  </si>
  <si>
    <t>Move to Kaltag's own tank-farm area; capacity on this row is the farm 219 total from Koyukuk — treat as unknown.</t>
  </si>
  <si>
    <t>Bettles @ 66.91827, -151.51660 [AEA; matched at AEA 2025 map point] — same position as ours</t>
  </si>
  <si>
    <t>f000762</t>
  </si>
  <si>
    <t>{DFFEA010-C78E-4C70-A5A9-0089FFA544FA}</t>
  </si>
  <si>
    <t>Farm 219 sits in Koyukuk; its own record is f001178. Keep that row as the farm; this row is a copy under another community's name.</t>
  </si>
  <si>
    <t>Kaltag @ 64.87970, -157.71869 [AEA; matched at AEA 2025 map point] — same position as ours | nearest 2024-assessment row for Kaltag: 'Kaltag AVEC Tank Farm' (119,800 gal) 0.3 km from the fix</t>
  </si>
  <si>
    <t>Bettles @ 66.91931, -151.51398 [AEA; matched at AEA 2025 map point] — same position as ours</t>
  </si>
  <si>
    <t>f000255</t>
  </si>
  <si>
    <t>{43DD9874-FC62-4F32-AC8A-D99446EB7491}</t>
  </si>
  <si>
    <t>f001757</t>
  </si>
  <si>
    <t>{0C5BEC21-0D02-4217-BB25-11C53F2A57C2}</t>
  </si>
  <si>
    <t>Bettles @ 66.92169, -151.50769 [AEA; matched at AEA 2025 map point] — same position as ours</t>
  </si>
  <si>
    <t>This IS farm 377's own record.</t>
  </si>
  <si>
    <t>Brevig Mission @ 65.33270, -166.49420 [AEA; matched at AEA 2025 map point] — same position as ours | nearest 2024-assessment row for Brevig Mission: 'Brevig Mission School Tank Farm' (54,014 gal) 0.3 km from this point</t>
  </si>
  <si>
    <t>f000105</t>
  </si>
  <si>
    <t>{95BA79A7-EECB-4B9D-8F6C-82D0C48A0838}</t>
  </si>
  <si>
    <t>f001514</t>
  </si>
  <si>
    <t>{C558007A-A0AB-4C4D-A836-9CA4EA3BD493}</t>
  </si>
  <si>
    <t>Chevak</t>
  </si>
  <si>
    <t>Bettles @ 66.92133, -151.50909 [AEA; matched at AEA 2025 map point] — same position as ours</t>
  </si>
  <si>
    <t>Move to Chevak's own tank-farm area; capacity on this row is the farm 377 total from Brevig Mission — treat as unknown.</t>
  </si>
  <si>
    <t>f001735</t>
  </si>
  <si>
    <t>{A530462C-BE7E-4917-B358-72FCC00AFB68}</t>
  </si>
  <si>
    <t>Naukati</t>
  </si>
  <si>
    <t>Naukati Bay</t>
  </si>
  <si>
    <t>Not in public file ('Naukati' is not on the AEDG community list, so the public build dropped it).</t>
  </si>
  <si>
    <t>Farm 377 sits in Brevig Mission; its own record is f000255. Keep that row as the farm; this row is a copy under another community's name.</t>
  </si>
  <si>
    <t>Chevak @ 65.33270, -166.49420 [AEA; matched at AEA 2025 map point] — same position as ours | nearest 2024-assessment row for Chevak: 'Chevak AVEC Tank Farm' (310,000 gal) 0.4 km from the fix</t>
  </si>
  <si>
    <t>f001058</t>
  </si>
  <si>
    <t>f000764</t>
  </si>
  <si>
    <t>{114FF0DE-E8A1-487F-8505-67999F6000EC}</t>
  </si>
  <si>
    <t>Kalskag</t>
  </si>
  <si>
    <t>{6EF0C04D-FA10-46F4-A9C4-91EC73504366}</t>
  </si>
  <si>
    <t>Move to Nightmute's own tank-farm area; capacity on this row is the farm 377 total from Brevig Mission — treat as unknown.</t>
  </si>
  <si>
    <t>Upper Kalskag @ 61.52612, -160.34851 [DEC; matched at AEA 2025 map point] — same position as ours (label 'Kalskag' → 'Upper Kalskag') | nearest 2024-assessment row for Upper Kalskag: 'George Morgan High School Tank Farm' (28,000 gal) 0.8 km from this point</t>
  </si>
  <si>
    <t>f001538</t>
  </si>
  <si>
    <t>{013ABDFD-DB31-4E01-B9E3-9FF760C2BB05}</t>
  </si>
  <si>
    <t>Nightmute @ 65.33270, -166.49420 [AEA; matched at AEA 2025 map point] — same position as ours | nearest 2024-assessment row for Nightmute: 'Nightmute Shared Tank Farm' (158,000 gal) 0.3 km from the fix</t>
  </si>
  <si>
    <t>Upper Kalskag @ 61.52631, -160.34839 [DEC; matched at AEA 2025 map point] — same position as ours (label 'Kalskag' → 'Upper Kalskag') | nearest 2024-assessment row for Upper Kalskag: 'George Morgan High School Tank Farm' (28,000 gal) 0.7 km from this point</t>
  </si>
  <si>
    <t>f001261</t>
  </si>
  <si>
    <t>{743459E3-FCB1-4860-9E07-61BE3B6A04B3}</t>
  </si>
  <si>
    <t>f001396</t>
  </si>
  <si>
    <t>{6B2DF7B5-09D6-4DC1-81C3-144F567B9178}</t>
  </si>
  <si>
    <t>Move to Stebbins's own tank-farm area; capacity on this row is the farm 377 total from Brevig Mission — treat as unknown.</t>
  </si>
  <si>
    <t>Upper Kalskag @ 61.52667, -160.34772 [DEC; matched at AEA 2025 map point] — same position as ours (label 'Kalskag' → 'Upper Kalskag') | nearest 2024-assessment row for Upper Kalskag: 'George Morgan High School Tank Farm' (28,000 gal) 0.7 km from this point</t>
  </si>
  <si>
    <t>f001160</t>
  </si>
  <si>
    <t>Stebbins @ 65.33270, -166.49420 [AEA; matched at AEA 2025 map point] — same position as ours | nearest 2024-assessment row for Stebbins: 'AVEC Power Plant Tank Farm' (410,000 gal) 0.5 km from the fix</t>
  </si>
  <si>
    <t>{41C39C16-6197-4AF1-A699-E8B804A72331}</t>
  </si>
  <si>
    <t>f000154</t>
  </si>
  <si>
    <t>{F3C6E0AA-DC43-46B0-9BBD-B22D1A9461DF}</t>
  </si>
  <si>
    <t>Upper Kalskag @ 61.53870, -160.33838 [DEC; matched at AEA 2025 map point] — same position as ours (label 'Kalskag' → 'Upper Kalskag') | nearest 2024-assessment row for Upper Kalskag: 'George Morgan High School Tank Farm' (28,000 gal) 0.8 km from this point</t>
  </si>
  <si>
    <t>Move to Toksook Bay's own tank-farm area; capacity on this row is the farm 377 total from Brevig Mission — treat as unknown.</t>
  </si>
  <si>
    <t>f001305</t>
  </si>
  <si>
    <t>{488BFE21-36C1-4EF2-9D43-1DE0A36534D0}</t>
  </si>
  <si>
    <t>Dutch Harbor</t>
  </si>
  <si>
    <t>Unalaska @ 53.88733, -166.54681 [DEC; matched at AEA 2025 map point] — same position as ours (label 'Dutch Harbor' → 'Unalaska')</t>
  </si>
  <si>
    <t>Toksook Bay @ 65.33270, -166.49420 [AEA; matched at AEA 2025 map point] — same position as ours | nearest 2024-assessment row for Toksook Bay: 'Toksook Bay Shared Tank Farm' (309,996 gal) 0.1 km from the fix</t>
  </si>
  <si>
    <t>f000505</t>
  </si>
  <si>
    <t>{60EDEA84-04E5-4ED4-912D-1CDA85E970A2}</t>
  </si>
  <si>
    <t>f000895</t>
  </si>
  <si>
    <t>{8911BFBD-59A5-485A-86C4-7EA6C3180F66}</t>
  </si>
  <si>
    <t>Move to Tununak's own tank-farm area; capacity on this row is the farm 377 total from Brevig Mission — treat as unknown.</t>
  </si>
  <si>
    <t>Unalaska @ 53.89709, -166.53998 [DEC; matched at AEA 2025 map point] — same position as ours (label 'Dutch Harbor' → 'Unalaska')</t>
  </si>
  <si>
    <t>Tununak @ 65.33270, -166.49420 [AEA; matched at AEA 2025 map point] — same position as ours | nearest 2024-assessment row for Tununak: 'Tununak Shared Tank Farm' (192,600 gal) 0.2 km from the fix</t>
  </si>
  <si>
    <t>f000335</t>
  </si>
  <si>
    <t>{7D987B23-D133-42DE-B929-973C9C816886}</t>
  </si>
  <si>
    <t>f001572</t>
  </si>
  <si>
    <t>{7A206A94-00D4-4121-BA0A-35593A0FADDC}</t>
  </si>
  <si>
    <t>Saint Michael</t>
  </si>
  <si>
    <t>Unalaska @ 53.91248, -166.50671 [DEC; matched at AEA 2025 map point] — same position as ours (label 'Dutch Harbor' → 'Unalaska')</t>
  </si>
  <si>
    <t>Keeps farm 694 (Brevig Mission) in the network: change the label only.</t>
  </si>
  <si>
    <t>f000532</t>
  </si>
  <si>
    <t>{F1376769-3624-43A5-9248-CADA5B67B566}</t>
  </si>
  <si>
    <t>Unalaska @ 53.90527, -166.54779 [DEC; matched at AEA 2025 map point] — same position as ours (label 'Dutch Harbor' → 'Unalaska')</t>
  </si>
  <si>
    <t>RELABEL TO KEEP FARM: relabel this row to 'Brevig Mission' and keep its position and capacity, so farm 694 is not lost. Farm 694 sits in Brevig Mission and has NO Brevig Mission-labelled row; its Tank_Farm_ID appears on no other row in the 2022 or 2025 CSV. DEC record f001206 (Brevig Mission, 59,000 gal) sits 10 m away — possibly the same site.</t>
  </si>
  <si>
    <t>Saint Michael @ 65.33289, -166.48639 [AEA; matched at AEA 2025 map point] — same position as ours | nearest 2024-assessment row for Brevig Mission: 'Brevig Mission School Tank Farm' (54,014 gal) 0.1 km from this point</t>
  </si>
  <si>
    <t>f000443</t>
  </si>
  <si>
    <t>{E4603DF1-062E-46B4-B972-86EC06249D23}</t>
  </si>
  <si>
    <t>Farm 694 sits in Brevig Mission and has NO Brevig Mission-labelled row; its Tank_Farm_ID appears on no other row in the 2022 or 2025 CSV. DEC record f001206 (Brevig Mission, 59,000 gal) sits 10 m away — possibly the same site. Another row on this farm is suggested for relabelling.</t>
  </si>
  <si>
    <t>f000139</t>
  </si>
  <si>
    <t>{8970B1E0-DE4E-4A98-8A1B-5C858F18F05A}</t>
  </si>
  <si>
    <t>Move to Savoonga's own tank-farm area; capacity on this row is the farm 694 total from Brevig Mission — treat as unknown.</t>
  </si>
  <si>
    <t>Savoonga @ 65.33289, -166.48639 [AEA; matched at AEA 2025 map point] — same position as ours | nearest 2024-assessment row for Savoonga: 'Savoonga City Bulk Fuel Tank Farm' (303,000 gal) 0.2 km from the fix</t>
  </si>
  <si>
    <t>f000521</t>
  </si>
  <si>
    <t>{DE58A4B0-4535-43C7-A7EF-69081AB2F18A}</t>
  </si>
  <si>
    <t>This IS farm 385's own record.</t>
  </si>
  <si>
    <t>Buckland @ 65.97992, -161.13177 [AEA; matched at AEA 2025 map point] — same position as ours | nearest 2024-assessment row for Buckland: 'Community Tank Farm' (414,515 gal) 0.1 km from this point</t>
  </si>
  <si>
    <t>f001581</t>
  </si>
  <si>
    <t>{D87C846D-981B-4E88-AB27-A2DDBF25E98C}</t>
  </si>
  <si>
    <t>Move to Chefornak's own tank-farm area; capacity on this row is the farm 385 total from Buckland — treat as unknown.</t>
  </si>
  <si>
    <t>Farm 385 sits in Buckland; its own record is f000521. Keep that row as the farm; this row is a copy under another community's name.</t>
  </si>
  <si>
    <t>Chefornak @ 65.97992, -161.13177 [AEA; matched at AEA 2025 map point] — same position as ours | nearest 2024-assessment row for Chefornak: 'Chefornak Shared Tank Farm' (286,582 gal) 0.5 km from the fix</t>
  </si>
  <si>
    <t>f000391</t>
  </si>
  <si>
    <t>{5966569A-E364-492E-AF3E-4EE7DCE3828B}</t>
  </si>
  <si>
    <t>Kongiganak</t>
  </si>
  <si>
    <t>Move to Kongiganak's own tank-farm area; capacity on this row is the farm 385 total from Buckland — treat as unknown.</t>
  </si>
  <si>
    <t>Kongiganak @ 65.97992, -161.13177 [AEA; matched at AEA 2025 map point] — same position as ours | nearest 2024-assessment row for Kongiganak: 'Kongiganak Joint Tank Farm' (346,003 gal) 0.4 km from the fix</t>
  </si>
  <si>
    <t>f001518</t>
  </si>
  <si>
    <t>{63C660C1-0960-4011-81E0-33F443CB730D}</t>
  </si>
  <si>
    <t>No AEA tank-farm record for Koyukuk; suggested = typical Koyukuk site from other sources. Capacity on this row is the farm 385 total from Buckland — treat as unknown.</t>
  </si>
  <si>
    <t>Koyukuk @ 65.97992, -161.13177 [AEA; matched at AEA 2025 map point] — same position as ours | nearest 2024-assessment row for Koyukuk: 'Koyukuk Shared Tank Farm' (116,996 gal) 0.0 km from the fix</t>
  </si>
  <si>
    <t>f000435</t>
  </si>
  <si>
    <t>{BA9A56A1-5224-45F0-B0DD-070DBFFB2559}</t>
  </si>
  <si>
    <t>Kwigillingok</t>
  </si>
  <si>
    <t>No AEA tank-farm record for Kwigillingok; suggested = typical Kwigillingok site from other sources. Capacity on this row is the farm 385 total from Buckland — treat as unknown.</t>
  </si>
  <si>
    <t>Kwigillingok @ 65.97992, -161.13177 [AEA; matched at AEA 2025 map point] — same position as ours | nearest 2024-assessment row for Kwigillingok: 'Kwik Inc Marina Tank Farm' (158,255 gal) 0.0 km from the fix</t>
  </si>
  <si>
    <t>f000227</t>
  </si>
  <si>
    <t>{E3EF8439-0613-41E1-B9C0-DC105BB3B3C0}</t>
  </si>
  <si>
    <t>Keeps farm 415 (Buckland) in the network: change the label only.</t>
  </si>
  <si>
    <t>RELABEL TO KEEP FARM: relabel this row to 'Buckland' and keep its position and capacity, so farm 415 is not lost. Farm 415 sits in Buckland and has NO Buckland-labelled row; its Tank_Farm_ID appears on no other row in the 2022 or 2025 CSV. DEC record f001170 (Buckland, 3,000 gal) sits 9 m away — possibly the same tank (farm total 2,900 gal).</t>
  </si>
  <si>
    <t>Kiana @ 65.98053, -161.13843 [AEA; matched at AEA 2025 map point] — same position as ours | nearest 2024-assessment row for Buckland: 'Community Tank Farm' (414,515 gal) 0.3 km from this point</t>
  </si>
  <si>
    <t>f000090</t>
  </si>
  <si>
    <t>{A5398AFB-3BA8-40B9-8A1A-2886C4335A54}</t>
  </si>
  <si>
    <t>Selawik</t>
  </si>
  <si>
    <t>Move to Selawik's own tank-farm area; capacity on this row is the farm 415 total from Buckland — treat as unknown.</t>
  </si>
  <si>
    <t>Farm 415 sits in Buckland and has NO Buckland-labelled row; its Tank_Farm_ID appears on no other row in the 2022 or 2025 CSV. DEC record f001170 (Buckland, 3,000 gal) sits 9 m away — possibly the same tank (farm total 2,900 gal). Another row on this farm is suggested for relabelling.</t>
  </si>
  <si>
    <t>Selawik @ 65.98053, -161.13843 [AEA; matched at AEA 2025 map point] — same position as ours | nearest 2024-assessment row for Selawik: 'NWAB School District' (144,000 gal) 0.0 km from the fix</t>
  </si>
  <si>
    <t>f000066</t>
  </si>
  <si>
    <t>{F0FFCC8F-A5B7-4ADC-8C28-C7FC319FCDDB}</t>
  </si>
  <si>
    <t>Not an AEA tank-farm record (source DEC/USCG); its point copies another community's site. Suggested = typical Galena site position.</t>
  </si>
  <si>
    <t>Galena @ 66.56427, -145.25763 [USCG; matched at AEA 2025 map point] — same position as ours | nearest 2024-assessment row for Galena: 'City of Galena Power Plant Tank Farm Galena Electric Utility' (670,000 gal) 0.2 km from the fix</t>
  </si>
  <si>
    <t>f001486</t>
  </si>
  <si>
    <t>{D16B7CA0-CE7A-4D65-864E-5B2599DECFA6}</t>
  </si>
  <si>
    <t>f000069</t>
  </si>
  <si>
    <t>Move to Galena's own tank-farm area; capacity on this row is the farm 158 total from Fort Yukon — treat as unknown.</t>
  </si>
  <si>
    <t>Farm 158 sits in Fort Yukon; its own record is f000069. Keep that row as the farm; this row is a copy under another community's name.</t>
  </si>
  <si>
    <t>Galena @ 66.56787, -145.25812 [AEA; matched at AEA 2025 map point] — same position as ours | nearest 2024-assessment row for Galena: 'Galena Airport Complex' (47,860 gal) 0.3 km from the fix</t>
  </si>
  <si>
    <t>{58EE35A2-3A08-4BA7-BF4C-04E89E4D064C}</t>
  </si>
  <si>
    <t>This IS farm 158's own record.</t>
  </si>
  <si>
    <t>Fort Yukon @ 66.56787, -145.25812 [AEA; matched at AEA 2025 map point] — same position as ours | nearest 2024-assessment row for Fort Yukon: 'Fort Yukon School Tank Farm' (40,000 gal) 0.4 km from this point</t>
  </si>
  <si>
    <t>f001132</t>
  </si>
  <si>
    <t>{E77A8666-C3DB-4AE5-ABD7-A169FFB122E7}</t>
  </si>
  <si>
    <t>This IS farm 408's own record.</t>
  </si>
  <si>
    <t>Kiana @ 66.97150, -160.43811 [AEA; matched at AEA 2025 map point] — same position as ours | nearest 2024-assessment row for Kiana: 'Kiana Co-located Tank Farm' (374,400 gal) 0.5 km from this point</t>
  </si>
  <si>
    <t>f001339</t>
  </si>
  <si>
    <t>{41F25397-8168-4A24-BE43-C7E6935BB5AB}</t>
  </si>
  <si>
    <t>AEA moved this record into Noorvik in Dec 2025: use 66.83289, -161.04431. Capacity on this row is the other farm's total — treat as unknown.</t>
  </si>
  <si>
    <t>Farm 408 sits in Kiana; its own record is f001132. Keep that row as the farm; this row is a copy under another community's name.</t>
  </si>
  <si>
    <t>Noorvik @ 66.83289, -161.04431 [AEA; matched at AEA 2025 map point] — 30.8 km from our position | nearest 2024-assessment row for Noorvik: 'Noorvik Tank Farm- Northwest Artctic Borough School District.' (99,900 gal) 0.2 km from the fix</t>
  </si>
  <si>
    <t>f001746</t>
  </si>
  <si>
    <t>{74D2D10D-C73A-4939-AF83-A4D6FE538506}</t>
  </si>
  <si>
    <t>f000641</t>
  </si>
  <si>
    <t>{7F9C4747-8957-4871-8E6F-F1ED7917FB36}</t>
  </si>
  <si>
    <t>This IS farm 410's own record.</t>
  </si>
  <si>
    <t>Kiana @ 66.97388, -160.42908 [AEA; matched at AEA 2025 map point] — same position as ours | nearest 2024-assessment row for Kiana: 'Kiana Co-located Tank Farm' (374,400 gal) 0.9 km from this point</t>
  </si>
  <si>
    <t>f001422</t>
  </si>
  <si>
    <t>{2A288E05-E61D-4E46-AE4D-C7D9102802EA}</t>
  </si>
  <si>
    <t>Move to Selawik's own tank-farm area; capacity on this row is the farm 410 total from Kiana — treat as unknown.</t>
  </si>
  <si>
    <t>Farm 410 sits in Kiana; its own record is f000641. Keep that row as the farm; this row is a copy under another community's name.</t>
  </si>
  <si>
    <t>Selawik @ 66.97388, -160.42908 [AEA; matched at AEA 2025 map point] — same position as ours | nearest 2024-assessment row for Selawik: 'NWAB School District' (144,000 gal) 0.0 km from the fix</t>
  </si>
  <si>
    <t>f000216</t>
  </si>
  <si>
    <t>{C9AFF599-4CD8-41B4-97E2-04CEFD79683A}</t>
  </si>
  <si>
    <t>Holy Cross</t>
  </si>
  <si>
    <t>Keeps farm 179 (Ambler) in the network: change the label only.</t>
  </si>
  <si>
    <t>RELABEL TO KEEP FARM: relabel this row to 'Ambler' and keep its position and capacity, so farm 179 is not lost. Farm 179 sits in Ambler and has NO Ambler-labelled row; its Tank_Farm_ID appears on no other row in the 2022 or 2025 CSV. DEC record f001807 (Ambler, 100,100 gal) sits 5 m from this farm point — possibly the same site recorded by DEC.</t>
  </si>
  <si>
    <t>Holy Cross @ 67.08771, -157.85669 [AEA; matched at AEA 2025 map point] — same position as ours | nearest 2024-assessment row for Ambler: 'Avec' (100,859 gal) 0.0 km from this point</t>
  </si>
  <si>
    <t>f000804</t>
  </si>
  <si>
    <t>{509CF7C1-AE7E-4289-8EFE-3298B15AD90D}</t>
  </si>
  <si>
    <t>Wales</t>
  </si>
  <si>
    <t>Move to Wales's own tank-farm area; capacity on this row is the farm 179 total from Ambler — treat as unknown.</t>
  </si>
  <si>
    <t>Farm 179 sits in Ambler and has NO Ambler-labelled row; its Tank_Farm_ID appears on no other row in the 2022 or 2025 CSV. DEC record f001807 (Ambler, 100,100 gal) sits 5 m from this farm point — possibly the same site recorded by DEC. Another row on this farm is suggested for relabelling.</t>
  </si>
  <si>
    <t>Wales @ 67.08771, -157.85669 [AEA; matched at AEA 2025 map point] — same position as ours | nearest 2024-assessment row for Wales: 'Wales School Tank Farm' (48,400 gal) 0.2 km from the fix</t>
  </si>
  <si>
    <t>f000404</t>
  </si>
  <si>
    <t>{EEFF47E2-0593-4707-A88F-5C25BC48F5D0}</t>
  </si>
  <si>
    <t>This IS farm 403's own record.</t>
  </si>
  <si>
    <t>Kaktovik @ 70.12872, -143.62201 [AEA; matched at AEA 2025 map point] — same position as ours | nearest 2024-assessment row for Kaktovik: 'Bulk Fuel Tank Farm' (1,010,000 gal) 0.4 km from this point</t>
  </si>
  <si>
    <t>f000941</t>
  </si>
  <si>
    <t>{52EA8B6C-5DEE-4586-9B19-043A22000B12}</t>
  </si>
  <si>
    <t>Wainwright</t>
  </si>
  <si>
    <t>Move to Wainwright's own tank-farm area; capacity on this row is the farm 403 total from Kaktovik — treat as unknown.</t>
  </si>
  <si>
    <t>Farm 403 sits in Kaktovik; its own record is f000404. Keep that row as the farm; this row is a copy under another community's name.</t>
  </si>
  <si>
    <t>Wainwright @ 70.12872, -143.62201 [AEA; matched at AEA 2025 map point] — same position as ours | nearest 2024-assessment row for Wainwright: 'Wainwright Power Plant Tank Farm' (500,000 gal) 0.6 km from the fix</t>
  </si>
  <si>
    <t>f001019</t>
  </si>
  <si>
    <t>{11C61E2B-C979-4D51-A901-5BDF8ABBF907}</t>
  </si>
  <si>
    <t>Point Lay</t>
  </si>
  <si>
    <t>f001625, f001055</t>
  </si>
  <si>
    <t>AEA moved this record into Point Lay in Dec 2025: use 69.74353, -163.00189. Capacity on this row is the other farm's total — treat as unknown.</t>
  </si>
  <si>
    <t>Farm 397 sits in Kaktovik; its own record is f001625, f001055. Keep that row as the farm; this row is a copy under another community's name.</t>
  </si>
  <si>
    <t>Point Lay @ 69.74353, -163.00189 [AEA; matched at AEA 2025 map point] — 753.7 km from our position | nearest 2024-assessment row for Point Lay: 'Point Lay Tank Farm' (798,000 gal) 0.3 km from the fix</t>
  </si>
  <si>
    <t>f001625</t>
  </si>
  <si>
    <t>{80B22708-BF6D-46B9-AEB3-1AF02C2A7D4F}</t>
  </si>
  <si>
    <t>This IS farm 397's own record.</t>
  </si>
  <si>
    <t>Kaktovik @ 70.12927, -143.60950 [AEA; matched at AEA 2025 map point] — same position as ours | nearest 2024-assessment row for Kaktovik: 'Bulk Fuel Tank Farm' (1,010,000 gal) 0.4 km from this point</t>
  </si>
  <si>
    <t>f001055</t>
  </si>
  <si>
    <t>{8505AE3D-4C11-431A-AFBC-E2CD78BEBC65}</t>
  </si>
  <si>
    <t>f001475</t>
  </si>
  <si>
    <t>{46B7841A-6BC9-41E3-A253-23EF7D0D8FC9}</t>
  </si>
  <si>
    <t>This IS farm 1087's own record.</t>
  </si>
  <si>
    <t>Atqasuk @ 70.48151, -157.42511 [AEA; matched at AEA 2025 map point] — same position as ours | nearest 2024-assessment row for Atqasuk: 'Power Plant Tank Farm' (87,500 gal) 0.2 km from this point</t>
  </si>
  <si>
    <t>f000058</t>
  </si>
  <si>
    <t>{29A9858B-A138-476A-942F-BA787BE7179B}</t>
  </si>
  <si>
    <t>Move to Kaktovik's own tank-farm area; capacity on this row is the farm 1087 total from Atqasuk — treat as unknown.</t>
  </si>
  <si>
    <t>Farm 1087 sits in Atqasuk; its own record is f001475. Keep that row as the farm; this row is a copy under another community's name.</t>
  </si>
  <si>
    <t>Kaktovik @ 70.48151, -157.42511 [AEA; matched at AEA 2025 map point] — same position as ours | nearest 2024-assessment row for Kaktovik: 'Bulk Fuel Tank Farm' (1,010,000 gal) 0.3 km from the fix</t>
  </si>
  <si>
    <t>f001571</t>
  </si>
  <si>
    <t>{32E46B3B-A68A-4AED-A995-44AABFBA609D}</t>
  </si>
  <si>
    <t>Nuiqsut</t>
  </si>
  <si>
    <t>Move to Nuiqsut's own tank-farm area; capacity on this row is the farm 1087 total from Atqasuk — treat as unknown.</t>
  </si>
  <si>
    <t>Nuiqsut @ 70.48151, -157.42511 [AEA; matched at AEA 2025 map point] — same position as ours | nearest 2024-assessment row for Nuiqsut: 'Nuiqsut Bulk Fuel Tank Farm' (468,000 gal) 0.3 km from the fix</t>
  </si>
  <si>
    <t>f000495</t>
  </si>
  <si>
    <t>{D45BE12C-652A-4463-9CA9-3542B3E29AC2}</t>
  </si>
  <si>
    <t>This IS farm 1095's own record.</t>
  </si>
  <si>
    <t>Atqasuk @ 70.48248, -157.42529 [AEA; matched at AEA 2025 map point] — same position as ours | nearest 2024-assessment row for Atqasuk: 'Power Plant Tank Farm' (87,500 gal) 0.1 km from this point</t>
  </si>
  <si>
    <t>f000052</t>
  </si>
  <si>
    <t>{EE035FC2-70D9-42A6-B940-D1F97F642616}</t>
  </si>
  <si>
    <t>Move to Nuiqsut's own tank-farm area; capacity on this row is the farm 1095 total from Atqasuk — treat as unknown.</t>
  </si>
  <si>
    <t>Farm 1095 sits in Atqasuk; its own record is f000495. Keep that row as the farm; this row is a copy under another community's name.</t>
  </si>
  <si>
    <t>Nuiqsut @ 70.48248, -157.42529 [AEA; matched at AEA 2025 map point] — same position as ours | nearest 2024-assessment row for Nuiqsut: 'Nuiqsut Bulk Fuel Tank Farm' (468,000 gal) 0.3 km from the fix</t>
  </si>
  <si>
    <t>f001590</t>
  </si>
  <si>
    <t>{678A81B7-2420-44FE-AABF-C45E6E48CC82}</t>
  </si>
  <si>
    <t>Move to Point Lay's own tank-farm area; capacity on this row is the farm 1095 total from Atqasuk — treat as unknown.</t>
  </si>
  <si>
    <t>Point Lay @ 70.48248, -157.42529 [AEA; matched at AEA 2025 map point] — same position as ours | nearest 2024-assessment row for Point Lay: 'Point Lay Tank Farm' (798,000 gal) 0.2 km from the fix</t>
  </si>
  <si>
    <t>f001115</t>
  </si>
  <si>
    <t>{EBE4B52C-8327-4736-B32F-36B795B4C16F}</t>
  </si>
  <si>
    <t>This IS farm 1094's own record.</t>
  </si>
  <si>
    <t>Atqasuk @ 70.48328, -157.42603 [AEA; matched at AEA 2025 map point] — same position as ours | nearest 2024-assessment row for Atqasuk: 'Power Plant Tank Farm' (87,500 gal) 0.0 km from this point</t>
  </si>
  <si>
    <t>f000329</t>
  </si>
  <si>
    <t>{CC2BF2C6-ADA9-481E-9BD6-76C5A72A34F4}</t>
  </si>
  <si>
    <t>AEA removed this record in the Dec 2025 file (AEA deleted all four non-Atqasuk records on farm 1094).</t>
  </si>
  <si>
    <t>Farm 1094 sits in Atqasuk; its own record is f001115. Keep that row as the farm; this row is a copy under another community's name.</t>
  </si>
  <si>
    <t>f000920</t>
  </si>
  <si>
    <t>{F5682527-F6B3-4629-A821-3EEFC8B9A7F1}</t>
  </si>
  <si>
    <t>f000943</t>
  </si>
  <si>
    <t>{7C70AEC7-1C3A-4867-92DF-B24C9EED18CF}</t>
  </si>
  <si>
    <t>Point Hope</t>
  </si>
  <si>
    <t>f001076</t>
  </si>
  <si>
    <t>{AC7AE947-7B03-4A9E-ADDF-90A993019617}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</si>
</sst>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20">
    <font>
      <sz val="11.0"/>
      <color theme="1"/>
      <name val="Calibri"/>
      <scheme val="minor"/>
    </font>
    <font>
      <b/>
      <sz val="13.0"/>
      <color theme="1"/>
      <name val="Arial"/>
    </font>
    <font>
      <sz val="10.0"/>
      <color theme="1"/>
      <name val="Arial"/>
    </font>
    <font>
      <b/>
      <sz val="10.0"/>
      <color rgb="FFFFFFFF"/>
      <name val="Arial"/>
    </font>
    <font>
      <b/>
      <sz val="10.0"/>
      <color theme="1"/>
      <name val="Arial"/>
    </font>
    <font>
      <u/>
      <sz val="10.0"/>
      <color rgb="FF0563C1"/>
      <name val="Arial"/>
    </font>
    <font>
      <u/>
      <sz val="10.0"/>
      <color rgb="FF0563C1"/>
      <name val="Arial"/>
    </font>
    <font>
      <u/>
      <sz val="10.0"/>
      <color rgb="FF0563C1"/>
      <name val="Arial"/>
    </font>
    <font>
      <u/>
      <sz val="10.0"/>
      <color rgb="FF0563C1"/>
      <name val="Arial"/>
    </font>
    <font>
      <u/>
      <sz val="10.0"/>
      <color rgb="FF0563C1"/>
      <name val="Arial"/>
    </font>
    <font>
      <color theme="1"/>
      <name val="Calibri"/>
      <scheme val="minor"/>
    </font>
    <font>
      <u/>
      <sz val="10.0"/>
      <color rgb="FF0563C1"/>
      <name val="Arial"/>
    </font>
    <font>
      <u/>
      <sz val="10.0"/>
      <color rgb="FF0563C1"/>
      <name val="Arial"/>
    </font>
    <font>
      <u/>
      <sz val="10.0"/>
      <color rgb="FF0563C1"/>
      <name val="Arial"/>
    </font>
    <font>
      <u/>
      <sz val="10.0"/>
      <color rgb="FF0563C1"/>
      <name val="Arial"/>
    </font>
    <font>
      <u/>
      <sz val="10.0"/>
      <color rgb="FF0563C1"/>
      <name val="Arial"/>
    </font>
    <font>
      <u/>
      <sz val="10.0"/>
      <color rgb="FF0563C1"/>
      <name val="Arial"/>
    </font>
    <font>
      <u/>
      <sz val="10.0"/>
      <color rgb="FF0563C1"/>
      <name val="Arial"/>
    </font>
    <font>
      <u/>
      <sz val="10.0"/>
      <color rgb="FF0563C1"/>
      <name val="Arial"/>
    </font>
    <font>
      <u/>
      <sz val="10.0"/>
      <color rgb="FF0563C1"/>
      <name val="Arial"/>
    </font>
  </fonts>
  <fills count="19">
    <fill>
      <patternFill patternType="none"/>
    </fill>
    <fill>
      <patternFill patternType="lightGray"/>
    </fill>
    <fill>
      <patternFill patternType="solid">
        <fgColor rgb="FF305496"/>
        <bgColor rgb="FF305496"/>
      </patternFill>
    </fill>
    <fill>
      <patternFill patternType="solid">
        <fgColor rgb="FFE2EFDA"/>
        <bgColor rgb="FFE2EFDA"/>
      </patternFill>
    </fill>
    <fill>
      <patternFill patternType="solid">
        <fgColor rgb="FFFFFF00"/>
        <bgColor rgb="FFFFFF00"/>
      </patternFill>
    </fill>
    <fill>
      <patternFill patternType="solid">
        <fgColor rgb="FFEDEDED"/>
        <bgColor rgb="FFEDEDED"/>
      </patternFill>
    </fill>
    <fill>
      <patternFill patternType="solid">
        <fgColor rgb="FFE6B8AF"/>
        <bgColor rgb="FFE6B8AF"/>
      </patternFill>
    </fill>
    <fill>
      <patternFill patternType="solid">
        <fgColor rgb="FFF4CCCC"/>
        <bgColor rgb="FFF4CCCC"/>
      </patternFill>
    </fill>
    <fill>
      <patternFill patternType="solid">
        <fgColor rgb="FFFF0000"/>
        <bgColor rgb="FFFF0000"/>
      </patternFill>
    </fill>
    <fill>
      <patternFill patternType="solid">
        <fgColor rgb="FFEAD1DC"/>
        <bgColor rgb="FFEAD1DC"/>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B6D7A8"/>
        <bgColor rgb="FFB6D7A8"/>
      </patternFill>
    </fill>
    <fill>
      <patternFill patternType="solid">
        <fgColor rgb="FFEA9999"/>
        <bgColor rgb="FFEA9999"/>
      </patternFill>
    </fill>
    <fill>
      <patternFill patternType="solid">
        <fgColor rgb="FFF9CB9C"/>
        <bgColor rgb="FFF9CB9C"/>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0" fillId="0" fontId="4" numFmtId="0" xfId="0" applyFont="1"/>
    <xf borderId="0" fillId="0" fontId="2" numFmtId="0" xfId="0" applyAlignment="1" applyFont="1">
      <alignment vertical="top"/>
    </xf>
    <xf borderId="1" fillId="3" fontId="2" numFmtId="0" xfId="0" applyAlignment="1" applyBorder="1" applyFill="1" applyFont="1">
      <alignment vertical="top"/>
    </xf>
    <xf borderId="0" fillId="0" fontId="2" numFmtId="0" xfId="0" applyAlignment="1" applyFont="1">
      <alignment shrinkToFit="0" vertical="top" wrapText="1"/>
    </xf>
    <xf borderId="2" fillId="4" fontId="2" numFmtId="0" xfId="0" applyAlignment="1" applyBorder="1" applyFill="1" applyFont="1">
      <alignment vertical="top"/>
    </xf>
    <xf borderId="1" fillId="5" fontId="2" numFmtId="0" xfId="0" applyAlignment="1" applyBorder="1" applyFill="1" applyFont="1">
      <alignment vertical="top"/>
    </xf>
    <xf borderId="0" fillId="0" fontId="5" numFmtId="0" xfId="0" applyAlignment="1" applyFont="1">
      <alignment vertical="top"/>
    </xf>
    <xf borderId="2" fillId="4" fontId="2" numFmtId="0" xfId="0" applyAlignment="1" applyBorder="1" applyFill="1" applyFont="1">
      <alignment shrinkToFit="0" vertical="top" wrapText="1"/>
    </xf>
    <xf borderId="0" fillId="6" fontId="2" numFmtId="0" xfId="0" applyAlignment="1" applyFill="1" applyFont="1">
      <alignment vertical="top"/>
    </xf>
    <xf borderId="0" fillId="6" fontId="2" numFmtId="0" xfId="0" applyAlignment="1" applyFill="1" applyFont="1">
      <alignment shrinkToFit="0" vertical="top" wrapText="1"/>
    </xf>
    <xf borderId="0" fillId="6" fontId="6" numFmtId="0" xfId="0" applyAlignment="1" applyFill="1" applyFont="1">
      <alignment vertical="top"/>
    </xf>
    <xf borderId="2" fillId="4" fontId="2" numFmtId="0" xfId="0" applyAlignment="1" applyBorder="1" applyFill="1" applyFont="1">
      <alignment readingOrder="0" vertical="top"/>
    </xf>
    <xf borderId="2" fillId="4" fontId="2" numFmtId="0" xfId="0" applyAlignment="1" applyBorder="1" applyFill="1" applyFont="1">
      <alignment readingOrder="0" shrinkToFit="0" vertical="top" wrapText="1"/>
    </xf>
    <xf borderId="2" fillId="4" fontId="2" numFmtId="164" xfId="0" applyAlignment="1" applyBorder="1" applyFill="1" applyFont="1" applyNumberFormat="1">
      <alignment readingOrder="0" vertical="top"/>
    </xf>
    <xf borderId="0" fillId="7" fontId="2" numFmtId="0" xfId="0" applyAlignment="1" applyFill="1" applyFont="1">
      <alignment vertical="top"/>
    </xf>
    <xf borderId="0" fillId="7" fontId="2" numFmtId="0" xfId="0" applyAlignment="1" applyFill="1" applyFont="1">
      <alignment shrinkToFit="0" vertical="top" wrapText="1"/>
    </xf>
    <xf borderId="0" fillId="7" fontId="7" numFmtId="0" xfId="0" applyAlignment="1" applyFill="1" applyFont="1">
      <alignment vertical="top"/>
    </xf>
    <xf borderId="0" fillId="8" fontId="2" numFmtId="0" xfId="0" applyAlignment="1" applyFill="1" applyFont="1">
      <alignment vertical="top"/>
    </xf>
    <xf borderId="0" fillId="9" fontId="2" numFmtId="0" xfId="0" applyAlignment="1" applyFill="1" applyFont="1">
      <alignment vertical="top"/>
    </xf>
    <xf borderId="0" fillId="9" fontId="2" numFmtId="0" xfId="0" applyAlignment="1" applyFill="1" applyFont="1">
      <alignment shrinkToFit="0" vertical="top" wrapText="1"/>
    </xf>
    <xf borderId="0" fillId="8" fontId="2" numFmtId="0" xfId="0" applyAlignment="1" applyFill="1" applyFont="1">
      <alignment shrinkToFit="0" vertical="top" wrapText="1"/>
    </xf>
    <xf borderId="0" fillId="9" fontId="8" numFmtId="0" xfId="0" applyAlignment="1" applyFill="1" applyFont="1">
      <alignment vertical="top"/>
    </xf>
    <xf borderId="0" fillId="8" fontId="9" numFmtId="0" xfId="0" applyAlignment="1" applyFill="1" applyFont="1">
      <alignment vertical="top"/>
    </xf>
    <xf borderId="0" fillId="8" fontId="10" numFmtId="0" xfId="0" applyFill="1" applyFont="1"/>
    <xf borderId="0" fillId="0" fontId="2" numFmtId="0" xfId="0" applyAlignment="1" applyFont="1">
      <alignment readingOrder="0" shrinkToFit="0" vertical="top" wrapText="1"/>
    </xf>
    <xf borderId="0" fillId="10" fontId="2" numFmtId="0" xfId="0" applyAlignment="1" applyFill="1" applyFont="1">
      <alignment vertical="top"/>
    </xf>
    <xf borderId="0" fillId="10" fontId="2" numFmtId="0" xfId="0" applyAlignment="1" applyFill="1" applyFont="1">
      <alignment shrinkToFit="0" vertical="top" wrapText="1"/>
    </xf>
    <xf borderId="0" fillId="10" fontId="11" numFmtId="0" xfId="0" applyAlignment="1" applyFill="1" applyFont="1">
      <alignment vertical="top"/>
    </xf>
    <xf borderId="0" fillId="0" fontId="1" numFmtId="0" xfId="0" applyAlignment="1" applyFont="1">
      <alignment shrinkToFit="0" wrapText="1"/>
    </xf>
    <xf borderId="0" fillId="11" fontId="2" numFmtId="0" xfId="0" applyAlignment="1" applyFill="1" applyFont="1">
      <alignment vertical="top"/>
    </xf>
    <xf borderId="0" fillId="0" fontId="2" numFmtId="0" xfId="0" applyAlignment="1" applyFont="1">
      <alignment shrinkToFit="0" wrapText="1"/>
    </xf>
    <xf borderId="0" fillId="0" fontId="4" numFmtId="0" xfId="0" applyAlignment="1" applyFont="1">
      <alignment shrinkToFit="0" wrapText="1"/>
    </xf>
    <xf borderId="0" fillId="11" fontId="2" numFmtId="0" xfId="0" applyAlignment="1" applyFill="1" applyFont="1">
      <alignment shrinkToFit="0" vertical="top" wrapText="1"/>
    </xf>
    <xf borderId="0" fillId="11" fontId="12" numFmtId="0" xfId="0" applyAlignment="1" applyFill="1" applyFont="1">
      <alignment vertical="top"/>
    </xf>
    <xf borderId="0" fillId="12" fontId="2" numFmtId="0" xfId="0" applyAlignment="1" applyFill="1" applyFont="1">
      <alignment vertical="top"/>
    </xf>
    <xf borderId="0" fillId="12" fontId="2" numFmtId="0" xfId="0" applyAlignment="1" applyFill="1" applyFont="1">
      <alignment shrinkToFit="0" vertical="top" wrapText="1"/>
    </xf>
    <xf borderId="0" fillId="12" fontId="13" numFmtId="0" xfId="0" applyAlignment="1" applyFill="1" applyFont="1">
      <alignment vertical="top"/>
    </xf>
    <xf borderId="0" fillId="13" fontId="2" numFmtId="0" xfId="0" applyAlignment="1" applyFill="1" applyFont="1">
      <alignment vertical="top"/>
    </xf>
    <xf borderId="0" fillId="13" fontId="2" numFmtId="0" xfId="0" applyAlignment="1" applyFill="1" applyFont="1">
      <alignment shrinkToFit="0" vertical="top" wrapText="1"/>
    </xf>
    <xf borderId="0" fillId="13" fontId="14" numFmtId="0" xfId="0" applyAlignment="1" applyFill="1" applyFont="1">
      <alignment vertical="top"/>
    </xf>
    <xf borderId="0" fillId="14" fontId="2" numFmtId="0" xfId="0" applyAlignment="1" applyFill="1" applyFont="1">
      <alignment vertical="top"/>
    </xf>
    <xf borderId="0" fillId="14" fontId="2" numFmtId="0" xfId="0" applyAlignment="1" applyFill="1" applyFont="1">
      <alignment shrinkToFit="0" vertical="top" wrapText="1"/>
    </xf>
    <xf borderId="0" fillId="14" fontId="15" numFmtId="0" xfId="0" applyAlignment="1" applyFill="1" applyFont="1">
      <alignment vertical="top"/>
    </xf>
    <xf borderId="0" fillId="15" fontId="2" numFmtId="0" xfId="0" applyAlignment="1" applyFill="1" applyFont="1">
      <alignment vertical="top"/>
    </xf>
    <xf borderId="0" fillId="15" fontId="2" numFmtId="0" xfId="0" applyAlignment="1" applyFill="1" applyFont="1">
      <alignment shrinkToFit="0" vertical="top" wrapText="1"/>
    </xf>
    <xf borderId="0" fillId="15" fontId="16" numFmtId="0" xfId="0" applyAlignment="1" applyFill="1" applyFont="1">
      <alignment vertical="top"/>
    </xf>
    <xf borderId="0" fillId="16" fontId="2" numFmtId="0" xfId="0" applyAlignment="1" applyFill="1" applyFont="1">
      <alignment vertical="top"/>
    </xf>
    <xf borderId="0" fillId="16" fontId="2" numFmtId="0" xfId="0" applyAlignment="1" applyFill="1" applyFont="1">
      <alignment shrinkToFit="0" vertical="top" wrapText="1"/>
    </xf>
    <xf borderId="0" fillId="16" fontId="17" numFmtId="0" xfId="0" applyAlignment="1" applyFill="1" applyFont="1">
      <alignment vertical="top"/>
    </xf>
    <xf borderId="0" fillId="17" fontId="2" numFmtId="0" xfId="0" applyAlignment="1" applyFill="1" applyFont="1">
      <alignment vertical="top"/>
    </xf>
    <xf borderId="0" fillId="17" fontId="2" numFmtId="0" xfId="0" applyAlignment="1" applyFill="1" applyFont="1">
      <alignment shrinkToFit="0" vertical="top" wrapText="1"/>
    </xf>
    <xf borderId="0" fillId="17" fontId="18" numFmtId="0" xfId="0" applyAlignment="1" applyFill="1" applyFont="1">
      <alignment vertical="top"/>
    </xf>
    <xf borderId="0" fillId="18" fontId="2" numFmtId="0" xfId="0" applyAlignment="1" applyFill="1" applyFont="1">
      <alignment vertical="top"/>
    </xf>
    <xf borderId="0" fillId="18" fontId="2" numFmtId="0" xfId="0" applyAlignment="1" applyFill="1" applyFont="1">
      <alignment shrinkToFit="0" vertical="top" wrapText="1"/>
    </xf>
    <xf borderId="0" fillId="18" fontId="19" numFmtId="0" xfId="0" applyAlignment="1" applyFill="1" applyFont="1">
      <alignment vertical="top"/>
    </xf>
    <xf borderId="0" fillId="4" fontId="10" numFmtId="0" xfId="0" applyFill="1" applyFont="1"/>
    <xf borderId="0" fillId="4" fontId="10"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26" width="8.71"/>
  </cols>
  <sheetData>
    <row r="1">
      <c r="A1" s="1" t="s">
        <v>0</v>
      </c>
    </row>
    <row r="2">
      <c r="A2" s="2"/>
    </row>
    <row r="3">
      <c r="A3" s="2" t="s">
        <v>1</v>
      </c>
    </row>
    <row r="4">
      <c r="A4" s="2" t="s">
        <v>2</v>
      </c>
    </row>
    <row r="5">
      <c r="A5" s="2"/>
    </row>
    <row r="6">
      <c r="A6" s="4" t="s">
        <v>4</v>
      </c>
    </row>
    <row r="7">
      <c r="A7" s="2" t="s">
        <v>8</v>
      </c>
    </row>
    <row r="8">
      <c r="A8" s="2" t="s">
        <v>11</v>
      </c>
    </row>
    <row r="9">
      <c r="A9" s="2" t="s">
        <v>14</v>
      </c>
    </row>
    <row r="10">
      <c r="A10" s="2" t="s">
        <v>19</v>
      </c>
    </row>
    <row r="11">
      <c r="A11" s="2" t="s">
        <v>23</v>
      </c>
    </row>
    <row r="12">
      <c r="A12" s="2"/>
    </row>
    <row r="13">
      <c r="A13" s="2" t="s">
        <v>26</v>
      </c>
    </row>
    <row r="14">
      <c r="A14" s="2"/>
    </row>
    <row r="15">
      <c r="A15" s="4" t="s">
        <v>29</v>
      </c>
    </row>
    <row r="16">
      <c r="A16" s="2" t="s">
        <v>31</v>
      </c>
    </row>
    <row r="17">
      <c r="A17" s="2" t="s">
        <v>33</v>
      </c>
    </row>
    <row r="18">
      <c r="A18" s="2" t="s">
        <v>36</v>
      </c>
    </row>
    <row r="19">
      <c r="A19" s="2"/>
    </row>
    <row r="20">
      <c r="A20" s="2" t="s">
        <v>41</v>
      </c>
    </row>
    <row r="21" ht="15.75" customHeight="1">
      <c r="A21" s="2" t="s">
        <v>45</v>
      </c>
    </row>
    <row r="22" ht="15.75" customHeight="1">
      <c r="A22" s="2" t="s">
        <v>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8.0"/>
    <col customWidth="1" min="2" max="4" width="13.0"/>
    <col customWidth="1" min="5" max="5" width="38.0"/>
    <col customWidth="1" min="6" max="8" width="13.0"/>
    <col customWidth="1" min="9" max="9" width="22.0"/>
    <col customWidth="1" min="10" max="10" width="13.0"/>
    <col customWidth="1" min="11" max="11" width="26.0"/>
    <col customWidth="1" min="12" max="12" width="55.0"/>
    <col customWidth="1" min="13" max="14" width="13.0"/>
    <col customWidth="1" min="15" max="15" width="16.0"/>
    <col customWidth="1" min="16" max="17" width="13.0"/>
    <col customWidth="1" min="18" max="18" width="16.0"/>
    <col customWidth="1" min="19" max="19" width="13.0"/>
    <col customWidth="1" min="20" max="20" width="70.0"/>
    <col customWidth="1" min="21" max="21" width="80.0"/>
    <col customWidth="1" min="22" max="22" width="24.0"/>
    <col customWidth="1" min="23" max="24" width="13.0"/>
    <col customWidth="1" min="25" max="26" width="8.71"/>
  </cols>
  <sheetData>
    <row r="1">
      <c r="A1" s="3" t="s">
        <v>3</v>
      </c>
      <c r="B1" s="3" t="s">
        <v>6</v>
      </c>
      <c r="C1" s="3" t="s">
        <v>7</v>
      </c>
      <c r="D1" s="3" t="s">
        <v>9</v>
      </c>
      <c r="E1" s="3" t="s">
        <v>10</v>
      </c>
      <c r="F1" s="3" t="s">
        <v>12</v>
      </c>
      <c r="G1" s="3" t="s">
        <v>13</v>
      </c>
      <c r="H1" s="3" t="s">
        <v>15</v>
      </c>
      <c r="I1" s="3" t="s">
        <v>16</v>
      </c>
      <c r="J1" s="3" t="s">
        <v>17</v>
      </c>
      <c r="K1" s="3" t="s">
        <v>20</v>
      </c>
      <c r="L1" s="3" t="s">
        <v>24</v>
      </c>
      <c r="M1" s="3" t="s">
        <v>27</v>
      </c>
      <c r="N1" s="3" t="s">
        <v>30</v>
      </c>
      <c r="O1" s="3" t="s">
        <v>21</v>
      </c>
      <c r="P1" s="3" t="s">
        <v>32</v>
      </c>
      <c r="Q1" s="3" t="s">
        <v>35</v>
      </c>
      <c r="R1" s="3" t="s">
        <v>39</v>
      </c>
      <c r="S1" s="3" t="s">
        <v>18</v>
      </c>
      <c r="T1" s="3" t="s">
        <v>42</v>
      </c>
      <c r="U1" s="3" t="s">
        <v>37</v>
      </c>
      <c r="V1" s="3" t="s">
        <v>46</v>
      </c>
      <c r="W1" s="3" t="s">
        <v>49</v>
      </c>
      <c r="X1" s="3" t="s">
        <v>51</v>
      </c>
    </row>
    <row r="2">
      <c r="A2" s="5" t="s">
        <v>55</v>
      </c>
      <c r="B2" s="5" t="s">
        <v>57</v>
      </c>
      <c r="C2" s="5">
        <v>239.0</v>
      </c>
      <c r="D2" s="5">
        <v>1011.0</v>
      </c>
      <c r="E2" s="5" t="s">
        <v>61</v>
      </c>
      <c r="F2" s="5" t="s">
        <v>63</v>
      </c>
      <c r="G2" s="5">
        <v>54.853056</v>
      </c>
      <c r="H2" s="5">
        <v>-152.39288</v>
      </c>
      <c r="I2" s="5" t="s">
        <v>65</v>
      </c>
      <c r="J2" s="5" t="s">
        <v>66</v>
      </c>
      <c r="K2" s="7"/>
      <c r="L2" s="7" t="s">
        <v>74</v>
      </c>
      <c r="M2" s="5" t="s">
        <v>76</v>
      </c>
      <c r="N2" s="5" t="s">
        <v>79</v>
      </c>
      <c r="O2" s="5" t="s">
        <v>78</v>
      </c>
      <c r="P2" s="5">
        <v>57.79468</v>
      </c>
      <c r="Q2" s="5">
        <v>-152.39288</v>
      </c>
      <c r="R2" s="5"/>
      <c r="S2" s="6" t="s">
        <v>64</v>
      </c>
      <c r="T2" s="7" t="s">
        <v>83</v>
      </c>
      <c r="U2" s="7" t="s">
        <v>84</v>
      </c>
      <c r="V2" s="5" t="s">
        <v>85</v>
      </c>
      <c r="W2" s="10" t="str">
        <f>HYPERLINK("https://www.google.com/maps?q=54.853056,-152.39288","map: current")</f>
        <v>map: current</v>
      </c>
      <c r="X2" s="10" t="str">
        <f>HYPERLINK("https://www.google.com/maps?q=57.79468,-152.39288","map: new")</f>
        <v>map: new</v>
      </c>
    </row>
    <row r="3">
      <c r="A3" s="5" t="s">
        <v>55</v>
      </c>
      <c r="B3" s="5" t="s">
        <v>98</v>
      </c>
      <c r="C3" s="5">
        <v>772.0</v>
      </c>
      <c r="D3" s="5">
        <v>457.0</v>
      </c>
      <c r="E3" s="5" t="s">
        <v>100</v>
      </c>
      <c r="F3" s="5" t="s">
        <v>101</v>
      </c>
      <c r="G3" s="5">
        <v>67.252778</v>
      </c>
      <c r="H3" s="5">
        <v>-131.699722</v>
      </c>
      <c r="I3" s="5" t="s">
        <v>103</v>
      </c>
      <c r="J3" s="5" t="s">
        <v>66</v>
      </c>
      <c r="K3" s="7"/>
      <c r="L3" s="7" t="s">
        <v>105</v>
      </c>
      <c r="M3" s="5" t="s">
        <v>76</v>
      </c>
      <c r="N3" s="5" t="s">
        <v>106</v>
      </c>
      <c r="O3" s="5" t="s">
        <v>78</v>
      </c>
      <c r="P3" s="5">
        <v>67.27808</v>
      </c>
      <c r="Q3" s="5">
        <v>-150.26877</v>
      </c>
      <c r="R3" s="5"/>
      <c r="S3" s="6" t="s">
        <v>64</v>
      </c>
      <c r="T3" s="7" t="s">
        <v>83</v>
      </c>
      <c r="U3" s="7" t="s">
        <v>110</v>
      </c>
      <c r="V3" s="5" t="s">
        <v>85</v>
      </c>
      <c r="W3" s="10" t="str">
        <f>HYPERLINK("https://www.google.com/maps?q=67.252778,-131.699722","map: current")</f>
        <v>map: current</v>
      </c>
      <c r="X3" s="10" t="str">
        <f>HYPERLINK("https://www.google.com/maps?q=67.27808,-150.26877","map: new")</f>
        <v>map: new</v>
      </c>
    </row>
    <row r="4">
      <c r="A4" s="5" t="s">
        <v>55</v>
      </c>
      <c r="B4" s="5" t="s">
        <v>128</v>
      </c>
      <c r="C4" s="5">
        <v>600.0</v>
      </c>
      <c r="D4" s="5">
        <v>313.0</v>
      </c>
      <c r="E4" s="5" t="s">
        <v>131</v>
      </c>
      <c r="F4" s="5" t="s">
        <v>133</v>
      </c>
      <c r="G4" s="5">
        <v>67.79558</v>
      </c>
      <c r="H4" s="5">
        <v>-161.7611</v>
      </c>
      <c r="I4" s="5" t="s">
        <v>137</v>
      </c>
      <c r="J4" s="5" t="s">
        <v>66</v>
      </c>
      <c r="K4" s="7"/>
      <c r="L4" s="7" t="s">
        <v>138</v>
      </c>
      <c r="M4" s="5" t="s">
        <v>76</v>
      </c>
      <c r="N4" s="5" t="s">
        <v>141</v>
      </c>
      <c r="O4" s="5" t="s">
        <v>78</v>
      </c>
      <c r="P4" s="5">
        <v>60.79558</v>
      </c>
      <c r="Q4" s="5">
        <v>-161.7611</v>
      </c>
      <c r="R4" s="5"/>
      <c r="S4" s="6" t="s">
        <v>64</v>
      </c>
      <c r="T4" s="7" t="s">
        <v>145</v>
      </c>
      <c r="U4" s="7" t="s">
        <v>146</v>
      </c>
      <c r="V4" s="5" t="s">
        <v>104</v>
      </c>
      <c r="W4" s="10" t="str">
        <f>HYPERLINK("https://www.google.com/maps?q=67.79558,-161.7611","map: current")</f>
        <v>map: current</v>
      </c>
      <c r="X4" s="10" t="str">
        <f>HYPERLINK("https://www.google.com/maps?q=60.79558,-161.7611","map: new")</f>
        <v>map: new</v>
      </c>
    </row>
    <row r="5">
      <c r="A5" s="5" t="s">
        <v>55</v>
      </c>
      <c r="B5" s="5" t="s">
        <v>147</v>
      </c>
      <c r="C5" s="5">
        <v>407.0</v>
      </c>
      <c r="D5" s="5">
        <v>1206.0</v>
      </c>
      <c r="E5" s="5" t="s">
        <v>148</v>
      </c>
      <c r="F5" s="5" t="s">
        <v>149</v>
      </c>
      <c r="G5" s="5">
        <v>59.4571</v>
      </c>
      <c r="H5" s="5">
        <v>-159.3748</v>
      </c>
      <c r="I5" s="5" t="s">
        <v>150</v>
      </c>
      <c r="J5" s="5" t="s">
        <v>66</v>
      </c>
      <c r="K5" s="7"/>
      <c r="L5" s="7" t="s">
        <v>151</v>
      </c>
      <c r="M5" s="5" t="s">
        <v>76</v>
      </c>
      <c r="N5" s="5" t="s">
        <v>152</v>
      </c>
      <c r="O5" s="5" t="s">
        <v>78</v>
      </c>
      <c r="P5" s="5">
        <v>59.4571</v>
      </c>
      <c r="Q5" s="5">
        <v>-157.3748</v>
      </c>
      <c r="R5" s="5"/>
      <c r="S5" s="6" t="s">
        <v>64</v>
      </c>
      <c r="T5" s="7" t="s">
        <v>145</v>
      </c>
      <c r="U5" s="7" t="s">
        <v>156</v>
      </c>
      <c r="V5" s="5" t="s">
        <v>104</v>
      </c>
      <c r="W5" s="10" t="str">
        <f>HYPERLINK("https://www.google.com/maps?q=59.4571,-159.3748","map: current")</f>
        <v>map: current</v>
      </c>
      <c r="X5" s="10" t="str">
        <f>HYPERLINK("https://www.google.com/maps?q=59.4571,-157.3748","map: new")</f>
        <v>map: new</v>
      </c>
    </row>
    <row r="6">
      <c r="A6" s="5" t="s">
        <v>60</v>
      </c>
      <c r="B6" s="5" t="s">
        <v>56</v>
      </c>
      <c r="C6" s="5">
        <v>1197.0</v>
      </c>
      <c r="D6" s="5">
        <v>507.0</v>
      </c>
      <c r="E6" s="5" t="s">
        <v>158</v>
      </c>
      <c r="F6" s="5" t="s">
        <v>59</v>
      </c>
      <c r="G6" s="5">
        <v>63.999927</v>
      </c>
      <c r="H6" s="5">
        <v>-144.731094</v>
      </c>
      <c r="I6" s="5" t="s">
        <v>160</v>
      </c>
      <c r="J6" s="5" t="s">
        <v>72</v>
      </c>
      <c r="K6" s="7" t="s">
        <v>73</v>
      </c>
      <c r="L6" s="7" t="s">
        <v>77</v>
      </c>
      <c r="M6" s="5" t="s">
        <v>76</v>
      </c>
      <c r="N6" s="5" t="s">
        <v>79</v>
      </c>
      <c r="O6" s="5" t="s">
        <v>71</v>
      </c>
      <c r="P6" s="5"/>
      <c r="Q6" s="5"/>
      <c r="R6" s="5" t="s">
        <v>163</v>
      </c>
      <c r="S6" s="6" t="s">
        <v>64</v>
      </c>
      <c r="T6" s="7" t="s">
        <v>165</v>
      </c>
      <c r="U6" s="7" t="s">
        <v>80</v>
      </c>
      <c r="V6" s="5" t="s">
        <v>155</v>
      </c>
      <c r="W6" s="10" t="str">
        <f>HYPERLINK("https://www.google.com/maps?q=63.999927,-144.731094","map: current")</f>
        <v>map: current</v>
      </c>
      <c r="X6" s="5"/>
    </row>
    <row r="7">
      <c r="A7" s="5" t="s">
        <v>60</v>
      </c>
      <c r="B7" s="5" t="s">
        <v>166</v>
      </c>
      <c r="C7" s="5">
        <v>815.0</v>
      </c>
      <c r="D7" s="5">
        <v>1365.0</v>
      </c>
      <c r="E7" s="5" t="s">
        <v>168</v>
      </c>
      <c r="F7" s="5" t="s">
        <v>169</v>
      </c>
      <c r="G7" s="5">
        <v>56.236042</v>
      </c>
      <c r="H7" s="5">
        <v>-132.981428</v>
      </c>
      <c r="I7" s="5" t="s">
        <v>171</v>
      </c>
      <c r="J7" s="5" t="s">
        <v>72</v>
      </c>
      <c r="K7" s="7"/>
      <c r="L7" s="7" t="s">
        <v>172</v>
      </c>
      <c r="M7" s="5" t="s">
        <v>76</v>
      </c>
      <c r="N7" s="5" t="s">
        <v>79</v>
      </c>
      <c r="O7" s="5" t="s">
        <v>173</v>
      </c>
      <c r="P7" s="5"/>
      <c r="Q7" s="5"/>
      <c r="R7" s="5"/>
      <c r="S7" s="6" t="s">
        <v>64</v>
      </c>
      <c r="T7" s="7" t="s">
        <v>174</v>
      </c>
      <c r="U7" s="7" t="s">
        <v>175</v>
      </c>
      <c r="V7" s="5" t="s">
        <v>176</v>
      </c>
      <c r="W7" s="10" t="str">
        <f>HYPERLINK("https://www.google.com/maps?q=56.236042,-132.981428","map: current")</f>
        <v>map: current</v>
      </c>
      <c r="X7" s="5"/>
    </row>
    <row r="8">
      <c r="A8" s="5" t="s">
        <v>60</v>
      </c>
      <c r="B8" s="5" t="s">
        <v>181</v>
      </c>
      <c r="C8" s="5">
        <v>452.0</v>
      </c>
      <c r="D8" s="5">
        <v>1369.0</v>
      </c>
      <c r="E8" s="5" t="s">
        <v>182</v>
      </c>
      <c r="F8" s="5" t="s">
        <v>183</v>
      </c>
      <c r="G8" s="5">
        <v>57.578333</v>
      </c>
      <c r="H8" s="5">
        <v>-157.053889</v>
      </c>
      <c r="I8" s="5" t="s">
        <v>185</v>
      </c>
      <c r="J8" s="5" t="s">
        <v>72</v>
      </c>
      <c r="K8" s="7"/>
      <c r="L8" s="7" t="s">
        <v>186</v>
      </c>
      <c r="M8" s="5" t="s">
        <v>76</v>
      </c>
      <c r="N8" s="5" t="s">
        <v>79</v>
      </c>
      <c r="O8" s="5" t="s">
        <v>173</v>
      </c>
      <c r="P8" s="5"/>
      <c r="Q8" s="5"/>
      <c r="R8" s="5"/>
      <c r="S8" s="6" t="s">
        <v>64</v>
      </c>
      <c r="T8" s="7" t="s">
        <v>174</v>
      </c>
      <c r="U8" s="7" t="s">
        <v>187</v>
      </c>
      <c r="V8" s="5" t="s">
        <v>176</v>
      </c>
      <c r="W8" s="10" t="str">
        <f>HYPERLINK("https://www.google.com/maps?q=57.578333,-157.053889","map: current")</f>
        <v>map: current</v>
      </c>
      <c r="X8" s="5"/>
    </row>
    <row r="9">
      <c r="A9" s="5" t="s">
        <v>60</v>
      </c>
      <c r="B9" s="5" t="s">
        <v>193</v>
      </c>
      <c r="C9" s="5">
        <v>622.0</v>
      </c>
      <c r="D9" s="5">
        <v>1833.0</v>
      </c>
      <c r="E9" s="5" t="s">
        <v>196</v>
      </c>
      <c r="F9" s="5" t="s">
        <v>197</v>
      </c>
      <c r="G9" s="5">
        <v>56.136278</v>
      </c>
      <c r="H9" s="5">
        <v>-132.404917</v>
      </c>
      <c r="I9" s="5" t="s">
        <v>199</v>
      </c>
      <c r="J9" s="5" t="s">
        <v>72</v>
      </c>
      <c r="K9" s="7"/>
      <c r="L9" s="7" t="s">
        <v>201</v>
      </c>
      <c r="M9" s="5" t="s">
        <v>76</v>
      </c>
      <c r="N9" s="5" t="s">
        <v>79</v>
      </c>
      <c r="O9" s="5" t="s">
        <v>173</v>
      </c>
      <c r="P9" s="5"/>
      <c r="Q9" s="5"/>
      <c r="R9" s="5"/>
      <c r="S9" s="6" t="s">
        <v>64</v>
      </c>
      <c r="T9" s="7" t="s">
        <v>174</v>
      </c>
      <c r="U9" s="7" t="s">
        <v>205</v>
      </c>
      <c r="V9" s="5" t="s">
        <v>176</v>
      </c>
      <c r="W9" s="10" t="str">
        <f>HYPERLINK("https://www.google.com/maps?q=56.136278,-132.404917","map: current")</f>
        <v>map: current</v>
      </c>
      <c r="X9" s="5"/>
    </row>
    <row r="10">
      <c r="A10" s="5" t="s">
        <v>212</v>
      </c>
      <c r="B10" s="5" t="s">
        <v>213</v>
      </c>
      <c r="C10" s="5">
        <v>1096.0</v>
      </c>
      <c r="D10" s="5">
        <v>1770.0</v>
      </c>
      <c r="E10" s="5" t="s">
        <v>214</v>
      </c>
      <c r="F10" s="5" t="s">
        <v>215</v>
      </c>
      <c r="G10" s="5">
        <v>63.89194</v>
      </c>
      <c r="H10" s="5">
        <v>-160.6842</v>
      </c>
      <c r="I10" s="5" t="s">
        <v>217</v>
      </c>
      <c r="J10" s="5" t="s">
        <v>66</v>
      </c>
      <c r="K10" s="7"/>
      <c r="L10" s="7" t="s">
        <v>218</v>
      </c>
      <c r="M10" s="5" t="s">
        <v>76</v>
      </c>
      <c r="N10" s="5" t="s">
        <v>79</v>
      </c>
      <c r="O10" s="5" t="s">
        <v>78</v>
      </c>
      <c r="P10" s="5">
        <v>53.88274</v>
      </c>
      <c r="Q10" s="5">
        <v>-166.550742</v>
      </c>
      <c r="R10" s="5"/>
      <c r="S10" s="6" t="s">
        <v>64</v>
      </c>
      <c r="T10" s="7" t="s">
        <v>83</v>
      </c>
      <c r="U10" s="7" t="s">
        <v>219</v>
      </c>
      <c r="V10" s="5" t="s">
        <v>104</v>
      </c>
      <c r="W10" s="10" t="str">
        <f>HYPERLINK("https://www.google.com/maps?q=63.89194,-160.6842","map: current")</f>
        <v>map: current</v>
      </c>
      <c r="X10" s="10" t="str">
        <f>HYPERLINK("https://www.google.com/maps?q=53.88274,-166.550742","map: new")</f>
        <v>map: new</v>
      </c>
    </row>
    <row r="11">
      <c r="A11" s="5" t="s">
        <v>212</v>
      </c>
      <c r="B11" s="5" t="s">
        <v>223</v>
      </c>
      <c r="C11" s="5">
        <v>1255.0</v>
      </c>
      <c r="D11" s="5">
        <v>1756.0</v>
      </c>
      <c r="E11" s="5" t="s">
        <v>225</v>
      </c>
      <c r="F11" s="5" t="s">
        <v>228</v>
      </c>
      <c r="G11" s="5">
        <v>53.88274</v>
      </c>
      <c r="H11" s="5">
        <v>-166.550742</v>
      </c>
      <c r="I11" s="5" t="s">
        <v>229</v>
      </c>
      <c r="J11" s="5" t="s">
        <v>66</v>
      </c>
      <c r="K11" s="7"/>
      <c r="L11" s="7" t="s">
        <v>218</v>
      </c>
      <c r="M11" s="5" t="s">
        <v>76</v>
      </c>
      <c r="N11" s="5" t="s">
        <v>79</v>
      </c>
      <c r="O11" s="5" t="s">
        <v>78</v>
      </c>
      <c r="P11" s="5">
        <v>63.89194</v>
      </c>
      <c r="Q11" s="5">
        <v>-160.6842</v>
      </c>
      <c r="R11" s="5"/>
      <c r="S11" s="6" t="s">
        <v>64</v>
      </c>
      <c r="T11" s="7" t="s">
        <v>83</v>
      </c>
      <c r="U11" s="7" t="s">
        <v>233</v>
      </c>
      <c r="V11" s="5" t="s">
        <v>104</v>
      </c>
      <c r="W11" s="10" t="str">
        <f>HYPERLINK("https://www.google.com/maps?q=53.88274,-166.550742","map: current")</f>
        <v>map: current</v>
      </c>
      <c r="X11" s="10" t="str">
        <f>HYPERLINK("https://www.google.com/maps?q=63.89194,-160.6842","map: new")</f>
        <v>map: new</v>
      </c>
    </row>
    <row r="12">
      <c r="A12" s="5" t="s">
        <v>88</v>
      </c>
      <c r="B12" s="5" t="s">
        <v>86</v>
      </c>
      <c r="C12" s="5">
        <v>1418.0</v>
      </c>
      <c r="D12" s="5">
        <v>481.0</v>
      </c>
      <c r="E12" s="5" t="s">
        <v>237</v>
      </c>
      <c r="F12" s="5" t="s">
        <v>87</v>
      </c>
      <c r="G12" s="5">
        <v>56.017179</v>
      </c>
      <c r="H12" s="5">
        <v>-132.828041</v>
      </c>
      <c r="I12" s="5" t="s">
        <v>238</v>
      </c>
      <c r="J12" s="5"/>
      <c r="K12" s="7"/>
      <c r="L12" s="7" t="s">
        <v>91</v>
      </c>
      <c r="M12" s="5" t="s">
        <v>76</v>
      </c>
      <c r="N12" s="5" t="s">
        <v>79</v>
      </c>
      <c r="O12" s="5" t="s">
        <v>90</v>
      </c>
      <c r="P12" s="5"/>
      <c r="Q12" s="5"/>
      <c r="R12" s="5"/>
      <c r="S12" s="9" t="s">
        <v>89</v>
      </c>
      <c r="T12" s="7" t="s">
        <v>242</v>
      </c>
      <c r="U12" s="7" t="s">
        <v>92</v>
      </c>
      <c r="V12" s="5" t="s">
        <v>176</v>
      </c>
      <c r="W12" s="10" t="str">
        <f>HYPERLINK("https://www.google.com/maps?q=56.017179,-132.828041","map: current")</f>
        <v>map: current</v>
      </c>
      <c r="X12" s="5"/>
    </row>
    <row r="13">
      <c r="A13" s="5" t="s">
        <v>88</v>
      </c>
      <c r="B13" s="5" t="s">
        <v>249</v>
      </c>
      <c r="C13" s="5">
        <v>51.0</v>
      </c>
      <c r="D13" s="5">
        <v>552.0</v>
      </c>
      <c r="E13" s="5" t="s">
        <v>251</v>
      </c>
      <c r="F13" s="5" t="s">
        <v>252</v>
      </c>
      <c r="G13" s="5">
        <v>61.245907</v>
      </c>
      <c r="H13" s="5">
        <v>-149.710691</v>
      </c>
      <c r="I13" s="5" t="s">
        <v>253</v>
      </c>
      <c r="J13" s="5" t="s">
        <v>66</v>
      </c>
      <c r="K13" s="7"/>
      <c r="L13" s="7" t="s">
        <v>255</v>
      </c>
      <c r="M13" s="5" t="s">
        <v>76</v>
      </c>
      <c r="N13" s="5" t="s">
        <v>79</v>
      </c>
      <c r="O13" s="5" t="s">
        <v>71</v>
      </c>
      <c r="P13" s="5"/>
      <c r="Q13" s="5"/>
      <c r="R13" s="5" t="s">
        <v>253</v>
      </c>
      <c r="S13" s="6" t="s">
        <v>64</v>
      </c>
      <c r="T13" s="7" t="s">
        <v>83</v>
      </c>
      <c r="U13" s="7" t="s">
        <v>256</v>
      </c>
      <c r="V13" s="5" t="s">
        <v>155</v>
      </c>
      <c r="W13" s="10" t="str">
        <f>HYPERLINK("https://www.google.com/maps?q=61.245907,-149.710691","map: current")</f>
        <v>map: current</v>
      </c>
      <c r="X13" s="5"/>
    </row>
    <row r="14">
      <c r="A14" s="5" t="s">
        <v>88</v>
      </c>
      <c r="B14" s="5" t="s">
        <v>261</v>
      </c>
      <c r="C14" s="5">
        <v>754.0</v>
      </c>
      <c r="D14" s="5">
        <v>607.0</v>
      </c>
      <c r="E14" s="5" t="s">
        <v>263</v>
      </c>
      <c r="F14" s="5" t="s">
        <v>95</v>
      </c>
      <c r="G14" s="5">
        <v>66.563958</v>
      </c>
      <c r="H14" s="5">
        <v>-145.258792</v>
      </c>
      <c r="I14" s="5" t="s">
        <v>222</v>
      </c>
      <c r="J14" s="5" t="s">
        <v>66</v>
      </c>
      <c r="K14" s="7"/>
      <c r="L14" s="7" t="s">
        <v>266</v>
      </c>
      <c r="M14" s="5" t="s">
        <v>76</v>
      </c>
      <c r="N14" s="5" t="s">
        <v>79</v>
      </c>
      <c r="O14" s="5" t="s">
        <v>71</v>
      </c>
      <c r="P14" s="5"/>
      <c r="Q14" s="5"/>
      <c r="R14" s="5" t="s">
        <v>222</v>
      </c>
      <c r="S14" s="6" t="s">
        <v>64</v>
      </c>
      <c r="T14" s="7" t="s">
        <v>83</v>
      </c>
      <c r="U14" s="7" t="s">
        <v>268</v>
      </c>
      <c r="V14" s="5" t="s">
        <v>155</v>
      </c>
      <c r="W14" s="10" t="str">
        <f>HYPERLINK("https://www.google.com/maps?q=66.563958,-145.258792","map: current")</f>
        <v>map: current</v>
      </c>
      <c r="X14" s="5"/>
    </row>
    <row r="15">
      <c r="A15" s="5" t="s">
        <v>88</v>
      </c>
      <c r="B15" s="5" t="s">
        <v>94</v>
      </c>
      <c r="C15" s="5">
        <v>1058.0</v>
      </c>
      <c r="D15" s="5">
        <v>626.0</v>
      </c>
      <c r="E15" s="5" t="s">
        <v>269</v>
      </c>
      <c r="F15" s="5" t="s">
        <v>95</v>
      </c>
      <c r="G15" s="5">
        <v>64.51252</v>
      </c>
      <c r="H15" s="5">
        <v>-165.4303</v>
      </c>
      <c r="I15" s="5" t="s">
        <v>271</v>
      </c>
      <c r="J15" s="5"/>
      <c r="K15" s="7"/>
      <c r="L15" s="7"/>
      <c r="M15" s="5" t="s">
        <v>76</v>
      </c>
      <c r="N15" s="5" t="s">
        <v>79</v>
      </c>
      <c r="O15" s="5" t="s">
        <v>90</v>
      </c>
      <c r="P15" s="5"/>
      <c r="Q15" s="5"/>
      <c r="R15" s="5"/>
      <c r="S15" s="9" t="s">
        <v>89</v>
      </c>
      <c r="T15" s="7" t="s">
        <v>273</v>
      </c>
      <c r="U15" s="7" t="s">
        <v>96</v>
      </c>
      <c r="V15" s="5" t="s">
        <v>176</v>
      </c>
      <c r="W15" s="10" t="str">
        <f t="shared" ref="W15:W16" si="1">HYPERLINK("https://www.google.com/maps?q=64.51252,-165.4303","map: current")</f>
        <v>map: current</v>
      </c>
      <c r="X15" s="5"/>
    </row>
    <row r="16">
      <c r="A16" s="5" t="s">
        <v>88</v>
      </c>
      <c r="B16" s="5" t="s">
        <v>99</v>
      </c>
      <c r="C16" s="5">
        <v>1060.0</v>
      </c>
      <c r="D16" s="5">
        <v>628.0</v>
      </c>
      <c r="E16" s="5" t="s">
        <v>277</v>
      </c>
      <c r="F16" s="5" t="s">
        <v>95</v>
      </c>
      <c r="G16" s="5">
        <v>64.51252</v>
      </c>
      <c r="H16" s="5">
        <v>-165.4303</v>
      </c>
      <c r="I16" s="5" t="s">
        <v>271</v>
      </c>
      <c r="J16" s="5"/>
      <c r="K16" s="7"/>
      <c r="L16" s="7"/>
      <c r="M16" s="5" t="s">
        <v>76</v>
      </c>
      <c r="N16" s="5" t="s">
        <v>79</v>
      </c>
      <c r="O16" s="5" t="s">
        <v>90</v>
      </c>
      <c r="P16" s="5"/>
      <c r="Q16" s="5"/>
      <c r="R16" s="5"/>
      <c r="S16" s="9" t="s">
        <v>89</v>
      </c>
      <c r="T16" s="7" t="s">
        <v>273</v>
      </c>
      <c r="U16" s="7" t="s">
        <v>96</v>
      </c>
      <c r="V16" s="5" t="s">
        <v>176</v>
      </c>
      <c r="W16" s="10" t="str">
        <f t="shared" si="1"/>
        <v>map: current</v>
      </c>
      <c r="X16" s="5"/>
    </row>
    <row r="17">
      <c r="A17" s="5" t="s">
        <v>88</v>
      </c>
      <c r="B17" s="5" t="s">
        <v>108</v>
      </c>
      <c r="C17" s="5">
        <v>104.0</v>
      </c>
      <c r="D17" s="5">
        <v>649.0</v>
      </c>
      <c r="E17" s="5" t="s">
        <v>281</v>
      </c>
      <c r="F17" s="5" t="s">
        <v>109</v>
      </c>
      <c r="G17" s="5">
        <v>60.132528</v>
      </c>
      <c r="H17" s="5">
        <v>-149.433</v>
      </c>
      <c r="I17" s="5" t="s">
        <v>283</v>
      </c>
      <c r="J17" s="5" t="s">
        <v>66</v>
      </c>
      <c r="K17" s="7"/>
      <c r="L17" s="28" t="s">
        <v>286</v>
      </c>
      <c r="M17" s="5" t="s">
        <v>76</v>
      </c>
      <c r="N17" s="5" t="s">
        <v>79</v>
      </c>
      <c r="O17" s="5" t="s">
        <v>71</v>
      </c>
      <c r="P17" s="5"/>
      <c r="Q17" s="5"/>
      <c r="R17" s="5" t="s">
        <v>283</v>
      </c>
      <c r="S17" s="6" t="s">
        <v>64</v>
      </c>
      <c r="T17" s="7" t="s">
        <v>288</v>
      </c>
      <c r="U17" s="7" t="s">
        <v>112</v>
      </c>
      <c r="V17" s="5" t="s">
        <v>176</v>
      </c>
      <c r="W17" s="10" t="str">
        <f>HYPERLINK("https://www.google.com/maps?q=60.132528,-149.433","map: current")</f>
        <v>map: current</v>
      </c>
      <c r="X17" s="5"/>
    </row>
    <row r="18">
      <c r="A18" s="5" t="s">
        <v>88</v>
      </c>
      <c r="B18" s="5" t="s">
        <v>114</v>
      </c>
      <c r="C18" s="5">
        <v>797.0</v>
      </c>
      <c r="D18" s="5">
        <v>955.0</v>
      </c>
      <c r="E18" s="5" t="s">
        <v>291</v>
      </c>
      <c r="F18" s="5" t="s">
        <v>115</v>
      </c>
      <c r="G18" s="5">
        <v>58.37542</v>
      </c>
      <c r="H18" s="5">
        <v>-134.574986</v>
      </c>
      <c r="I18" s="5" t="s">
        <v>293</v>
      </c>
      <c r="J18" s="5" t="s">
        <v>72</v>
      </c>
      <c r="K18" s="7" t="s">
        <v>116</v>
      </c>
      <c r="L18" s="7" t="s">
        <v>117</v>
      </c>
      <c r="M18" s="5" t="s">
        <v>76</v>
      </c>
      <c r="N18" s="5" t="s">
        <v>79</v>
      </c>
      <c r="O18" s="5" t="s">
        <v>78</v>
      </c>
      <c r="P18" s="5">
        <v>55.353511</v>
      </c>
      <c r="Q18" s="5">
        <v>-131.684099</v>
      </c>
      <c r="R18" s="5"/>
      <c r="S18" s="6" t="s">
        <v>64</v>
      </c>
      <c r="T18" s="7" t="s">
        <v>297</v>
      </c>
      <c r="U18" s="7" t="s">
        <v>118</v>
      </c>
      <c r="V18" s="5" t="s">
        <v>104</v>
      </c>
      <c r="W18" s="10" t="str">
        <f>HYPERLINK("https://www.google.com/maps?q=58.37542,-134.574986","map: current")</f>
        <v>map: current</v>
      </c>
      <c r="X18" s="10" t="str">
        <f>HYPERLINK("https://www.google.com/maps?q=55.353511,-131.684099","map: new")</f>
        <v>map: new</v>
      </c>
    </row>
    <row r="19">
      <c r="A19" s="5" t="s">
        <v>88</v>
      </c>
      <c r="B19" s="5" t="s">
        <v>299</v>
      </c>
      <c r="C19" s="5">
        <v>898.0</v>
      </c>
      <c r="D19" s="5">
        <v>972.0</v>
      </c>
      <c r="E19" s="5" t="s">
        <v>300</v>
      </c>
      <c r="F19" s="5" t="s">
        <v>301</v>
      </c>
      <c r="G19" s="5">
        <v>58.683749</v>
      </c>
      <c r="H19" s="5">
        <v>-156.672126</v>
      </c>
      <c r="I19" s="5" t="s">
        <v>302</v>
      </c>
      <c r="J19" s="5" t="s">
        <v>66</v>
      </c>
      <c r="K19" s="7"/>
      <c r="L19" s="7" t="s">
        <v>303</v>
      </c>
      <c r="M19" s="5" t="s">
        <v>76</v>
      </c>
      <c r="N19" s="5" t="s">
        <v>79</v>
      </c>
      <c r="O19" s="5" t="s">
        <v>71</v>
      </c>
      <c r="P19" s="5"/>
      <c r="Q19" s="5"/>
      <c r="R19" s="5" t="s">
        <v>302</v>
      </c>
      <c r="S19" s="6" t="s">
        <v>64</v>
      </c>
      <c r="T19" s="7" t="s">
        <v>83</v>
      </c>
      <c r="U19" s="7" t="s">
        <v>304</v>
      </c>
      <c r="V19" s="5" t="s">
        <v>155</v>
      </c>
      <c r="W19" s="10" t="str">
        <f>HYPERLINK("https://www.google.com/maps?q=58.683749,-156.672126","map: current")</f>
        <v>map: current</v>
      </c>
      <c r="X19" s="5"/>
    </row>
    <row r="20">
      <c r="A20" s="5" t="s">
        <v>88</v>
      </c>
      <c r="B20" s="5" t="s">
        <v>309</v>
      </c>
      <c r="C20" s="5">
        <v>1858.0</v>
      </c>
      <c r="D20" s="5">
        <v>1643.0</v>
      </c>
      <c r="E20" s="5" t="s">
        <v>311</v>
      </c>
      <c r="F20" s="5" t="s">
        <v>312</v>
      </c>
      <c r="G20" s="5">
        <v>68.128386</v>
      </c>
      <c r="H20" s="5">
        <v>-145.535502</v>
      </c>
      <c r="I20" s="5" t="s">
        <v>313</v>
      </c>
      <c r="J20" s="5" t="s">
        <v>66</v>
      </c>
      <c r="K20" s="7"/>
      <c r="L20" s="7" t="s">
        <v>314</v>
      </c>
      <c r="M20" s="5" t="s">
        <v>76</v>
      </c>
      <c r="N20" s="5" t="s">
        <v>79</v>
      </c>
      <c r="O20" s="5" t="s">
        <v>71</v>
      </c>
      <c r="P20" s="5"/>
      <c r="Q20" s="5"/>
      <c r="R20" s="5" t="s">
        <v>313</v>
      </c>
      <c r="S20" s="6" t="s">
        <v>64</v>
      </c>
      <c r="T20" s="7" t="s">
        <v>83</v>
      </c>
      <c r="U20" s="7" t="s">
        <v>315</v>
      </c>
      <c r="V20" s="5" t="s">
        <v>155</v>
      </c>
      <c r="W20" s="10" t="str">
        <f>HYPERLINK("https://www.google.com/maps?q=68.128386,-145.535502","map: current")</f>
        <v>map: current</v>
      </c>
      <c r="X20" s="5"/>
    </row>
    <row r="21" ht="15.75" customHeight="1">
      <c r="A21" s="5" t="s">
        <v>122</v>
      </c>
      <c r="B21" s="5" t="s">
        <v>317</v>
      </c>
      <c r="C21" s="5">
        <v>902.0</v>
      </c>
      <c r="D21" s="5">
        <v>935.0</v>
      </c>
      <c r="E21" s="5" t="s">
        <v>318</v>
      </c>
      <c r="F21" s="5" t="s">
        <v>319</v>
      </c>
      <c r="G21" s="5">
        <v>64.856066</v>
      </c>
      <c r="H21" s="5">
        <v>-147.802751</v>
      </c>
      <c r="I21" s="5" t="s">
        <v>320</v>
      </c>
      <c r="J21" s="5" t="s">
        <v>321</v>
      </c>
      <c r="K21" s="7" t="s">
        <v>322</v>
      </c>
      <c r="L21" s="7" t="s">
        <v>323</v>
      </c>
      <c r="M21" s="5" t="s">
        <v>76</v>
      </c>
      <c r="N21" s="5" t="s">
        <v>79</v>
      </c>
      <c r="O21" s="5" t="s">
        <v>78</v>
      </c>
      <c r="P21" s="5">
        <v>60.67854</v>
      </c>
      <c r="Q21" s="5">
        <v>-151.38001</v>
      </c>
      <c r="R21" s="5"/>
      <c r="S21" s="6" t="s">
        <v>64</v>
      </c>
      <c r="T21" s="7" t="s">
        <v>325</v>
      </c>
      <c r="U21" s="7" t="s">
        <v>327</v>
      </c>
      <c r="V21" s="5" t="s">
        <v>104</v>
      </c>
      <c r="W21" s="10" t="str">
        <f>HYPERLINK("https://www.google.com/maps?q=64.856066,-147.802751","map: current")</f>
        <v>map: current</v>
      </c>
      <c r="X21" s="10" t="str">
        <f>HYPERLINK("https://www.google.com/maps?q=60.67854,-151.38001","map: new")</f>
        <v>map: new</v>
      </c>
    </row>
    <row r="22" ht="15.75" customHeight="1">
      <c r="A22" s="5" t="s">
        <v>122</v>
      </c>
      <c r="B22" s="5" t="s">
        <v>333</v>
      </c>
      <c r="C22" s="5">
        <v>1595.0</v>
      </c>
      <c r="D22" s="5">
        <v>1006.0</v>
      </c>
      <c r="E22" s="5" t="s">
        <v>334</v>
      </c>
      <c r="F22" s="5" t="s">
        <v>335</v>
      </c>
      <c r="G22" s="5">
        <v>66.549243</v>
      </c>
      <c r="H22" s="5">
        <v>-152.632721</v>
      </c>
      <c r="I22" s="5" t="s">
        <v>337</v>
      </c>
      <c r="J22" s="5" t="s">
        <v>321</v>
      </c>
      <c r="K22" s="7" t="s">
        <v>338</v>
      </c>
      <c r="L22" s="7" t="s">
        <v>339</v>
      </c>
      <c r="M22" s="5" t="s">
        <v>76</v>
      </c>
      <c r="N22" s="5" t="s">
        <v>79</v>
      </c>
      <c r="O22" s="5" t="s">
        <v>78</v>
      </c>
      <c r="P22" s="5">
        <v>55.55068</v>
      </c>
      <c r="Q22" s="5">
        <v>-133.09671</v>
      </c>
      <c r="R22" s="5"/>
      <c r="S22" s="6" t="s">
        <v>64</v>
      </c>
      <c r="T22" s="7" t="s">
        <v>340</v>
      </c>
      <c r="U22" s="7" t="s">
        <v>341</v>
      </c>
      <c r="V22" s="5" t="s">
        <v>104</v>
      </c>
      <c r="W22" s="10" t="str">
        <f>HYPERLINK("https://www.google.com/maps?q=66.549243,-152.632721","map: current")</f>
        <v>map: current</v>
      </c>
      <c r="X22" s="10" t="str">
        <f>HYPERLINK("https://www.google.com/maps?q=55.55068,-133.09671","map: new")</f>
        <v>map: new</v>
      </c>
    </row>
    <row r="23" ht="15.75" customHeight="1">
      <c r="A23" s="5" t="s">
        <v>122</v>
      </c>
      <c r="B23" s="5" t="s">
        <v>120</v>
      </c>
      <c r="C23" s="5">
        <v>1671.0</v>
      </c>
      <c r="D23" s="5">
        <v>1218.0</v>
      </c>
      <c r="E23" s="5" t="s">
        <v>347</v>
      </c>
      <c r="F23" s="5" t="s">
        <v>121</v>
      </c>
      <c r="G23" s="5">
        <v>59.934137</v>
      </c>
      <c r="H23" s="5">
        <v>-164.038194</v>
      </c>
      <c r="I23" s="5" t="s">
        <v>350</v>
      </c>
      <c r="J23" s="5" t="s">
        <v>72</v>
      </c>
      <c r="K23" s="7"/>
      <c r="L23" s="7" t="s">
        <v>124</v>
      </c>
      <c r="M23" s="5" t="s">
        <v>76</v>
      </c>
      <c r="N23" s="5" t="s">
        <v>79</v>
      </c>
      <c r="O23" s="5" t="s">
        <v>123</v>
      </c>
      <c r="P23" s="5"/>
      <c r="Q23" s="5"/>
      <c r="R23" s="5"/>
      <c r="S23" s="6" t="s">
        <v>64</v>
      </c>
      <c r="T23" s="7" t="s">
        <v>353</v>
      </c>
      <c r="U23" s="7" t="s">
        <v>126</v>
      </c>
      <c r="V23" s="5" t="s">
        <v>176</v>
      </c>
      <c r="W23" s="10" t="str">
        <f>HYPERLINK("https://www.google.com/maps?q=59.934137,-164.038194","map: current")</f>
        <v>map: current</v>
      </c>
      <c r="X23" s="5"/>
    </row>
    <row r="24" ht="15.75" customHeight="1">
      <c r="A24" s="5" t="s">
        <v>122</v>
      </c>
      <c r="B24" s="5" t="s">
        <v>132</v>
      </c>
      <c r="C24" s="5">
        <v>1692.0</v>
      </c>
      <c r="D24" s="5">
        <v>1273.0</v>
      </c>
      <c r="E24" s="5" t="s">
        <v>355</v>
      </c>
      <c r="F24" s="5" t="s">
        <v>135</v>
      </c>
      <c r="G24" s="5">
        <v>64.322902</v>
      </c>
      <c r="H24" s="5">
        <v>-158.724053</v>
      </c>
      <c r="I24" s="5" t="s">
        <v>358</v>
      </c>
      <c r="J24" s="5"/>
      <c r="K24" s="7"/>
      <c r="L24" s="7" t="s">
        <v>140</v>
      </c>
      <c r="M24" s="5" t="s">
        <v>76</v>
      </c>
      <c r="N24" s="5" t="s">
        <v>79</v>
      </c>
      <c r="O24" s="5" t="s">
        <v>90</v>
      </c>
      <c r="P24" s="5"/>
      <c r="Q24" s="5"/>
      <c r="R24" s="5"/>
      <c r="S24" s="9" t="s">
        <v>89</v>
      </c>
      <c r="T24" s="7" t="s">
        <v>361</v>
      </c>
      <c r="U24" s="7" t="s">
        <v>142</v>
      </c>
      <c r="V24" s="5" t="s">
        <v>176</v>
      </c>
      <c r="W24" s="10" t="str">
        <f>HYPERLINK("https://www.google.com/maps?q=64.322902,-158.724053","map: current")</f>
        <v>map: current</v>
      </c>
      <c r="X24" s="5"/>
    </row>
    <row r="25" ht="15.75" customHeight="1">
      <c r="A25" s="5" t="s">
        <v>367</v>
      </c>
      <c r="B25" s="5" t="s">
        <v>368</v>
      </c>
      <c r="C25" s="5">
        <v>110.0</v>
      </c>
      <c r="D25" s="5">
        <v>433.0</v>
      </c>
      <c r="E25" s="5" t="s">
        <v>369</v>
      </c>
      <c r="F25" s="5" t="s">
        <v>370</v>
      </c>
      <c r="G25" s="5">
        <v>58.836247</v>
      </c>
      <c r="H25" s="5">
        <v>-158.544473</v>
      </c>
      <c r="I25" s="5" t="s">
        <v>371</v>
      </c>
      <c r="J25" s="5" t="s">
        <v>66</v>
      </c>
      <c r="K25" s="7"/>
      <c r="L25" s="7"/>
      <c r="M25" s="5"/>
      <c r="N25" s="5"/>
      <c r="O25" s="5" t="s">
        <v>71</v>
      </c>
      <c r="P25" s="5"/>
      <c r="Q25" s="5"/>
      <c r="R25" s="5" t="s">
        <v>371</v>
      </c>
      <c r="S25" s="6" t="s">
        <v>64</v>
      </c>
      <c r="T25" s="7" t="s">
        <v>372</v>
      </c>
      <c r="U25" s="7" t="s">
        <v>373</v>
      </c>
      <c r="V25" s="5" t="s">
        <v>85</v>
      </c>
      <c r="W25" s="10" t="str">
        <f>HYPERLINK("https://www.google.com/maps?q=58.836247,-158.544473","map: current")</f>
        <v>map: current</v>
      </c>
      <c r="X25" s="5"/>
    </row>
    <row r="26" ht="15.75" customHeight="1">
      <c r="A26" s="5" t="s">
        <v>367</v>
      </c>
      <c r="B26" s="5" t="s">
        <v>379</v>
      </c>
      <c r="C26" s="5">
        <v>402.0</v>
      </c>
      <c r="D26" s="5">
        <v>434.0</v>
      </c>
      <c r="E26" s="5" t="s">
        <v>380</v>
      </c>
      <c r="F26" s="5" t="s">
        <v>370</v>
      </c>
      <c r="G26" s="5">
        <v>58.8369</v>
      </c>
      <c r="H26" s="5">
        <v>-158.5293</v>
      </c>
      <c r="I26" s="5" t="s">
        <v>371</v>
      </c>
      <c r="J26" s="5" t="s">
        <v>66</v>
      </c>
      <c r="K26" s="7"/>
      <c r="L26" s="7"/>
      <c r="M26" s="5"/>
      <c r="N26" s="5"/>
      <c r="O26" s="5" t="s">
        <v>71</v>
      </c>
      <c r="P26" s="5"/>
      <c r="Q26" s="5"/>
      <c r="R26" s="5" t="s">
        <v>371</v>
      </c>
      <c r="S26" s="6" t="s">
        <v>64</v>
      </c>
      <c r="T26" s="7" t="s">
        <v>372</v>
      </c>
      <c r="U26" s="7" t="s">
        <v>381</v>
      </c>
      <c r="V26" s="5" t="s">
        <v>85</v>
      </c>
      <c r="W26" s="10" t="str">
        <f>HYPERLINK("https://www.google.com/maps?q=58.8369,-158.5293","map: current")</f>
        <v>map: current</v>
      </c>
      <c r="X26" s="5"/>
    </row>
    <row r="27" ht="15.75" customHeight="1">
      <c r="A27" s="5" t="s">
        <v>367</v>
      </c>
      <c r="B27" s="5" t="s">
        <v>384</v>
      </c>
      <c r="C27" s="5">
        <v>355.0</v>
      </c>
      <c r="D27" s="5">
        <v>1483.0</v>
      </c>
      <c r="E27" s="5" t="s">
        <v>385</v>
      </c>
      <c r="F27" s="5" t="s">
        <v>386</v>
      </c>
      <c r="G27" s="5">
        <v>62.057547</v>
      </c>
      <c r="H27" s="5">
        <v>-163.294789</v>
      </c>
      <c r="I27" s="5" t="s">
        <v>388</v>
      </c>
      <c r="J27" s="5" t="s">
        <v>66</v>
      </c>
      <c r="K27" s="7"/>
      <c r="L27" s="7"/>
      <c r="M27" s="5"/>
      <c r="N27" s="5"/>
      <c r="O27" s="5" t="s">
        <v>71</v>
      </c>
      <c r="P27" s="5"/>
      <c r="Q27" s="5"/>
      <c r="R27" s="5" t="s">
        <v>388</v>
      </c>
      <c r="S27" s="6" t="s">
        <v>64</v>
      </c>
      <c r="T27" s="7" t="s">
        <v>372</v>
      </c>
      <c r="U27" s="7" t="s">
        <v>390</v>
      </c>
      <c r="V27" s="5" t="s">
        <v>85</v>
      </c>
      <c r="W27" s="10" t="str">
        <f>HYPERLINK("https://www.google.com/maps?q=62.057547,-163.294789","map: current")</f>
        <v>map: current</v>
      </c>
      <c r="X27" s="5"/>
    </row>
    <row r="28" ht="15.75" customHeight="1">
      <c r="A28" s="5" t="s">
        <v>367</v>
      </c>
      <c r="B28" s="5" t="s">
        <v>394</v>
      </c>
      <c r="C28" s="5">
        <v>763.0</v>
      </c>
      <c r="D28" s="5">
        <v>1484.0</v>
      </c>
      <c r="E28" s="5" t="s">
        <v>395</v>
      </c>
      <c r="F28" s="5" t="s">
        <v>386</v>
      </c>
      <c r="G28" s="5">
        <v>62.051516</v>
      </c>
      <c r="H28" s="5">
        <v>-163.175166</v>
      </c>
      <c r="I28" s="5" t="s">
        <v>388</v>
      </c>
      <c r="J28" s="5" t="s">
        <v>66</v>
      </c>
      <c r="K28" s="7"/>
      <c r="L28" s="7"/>
      <c r="M28" s="5"/>
      <c r="N28" s="5"/>
      <c r="O28" s="5" t="s">
        <v>71</v>
      </c>
      <c r="P28" s="5"/>
      <c r="Q28" s="5"/>
      <c r="R28" s="5" t="s">
        <v>388</v>
      </c>
      <c r="S28" s="6" t="s">
        <v>64</v>
      </c>
      <c r="T28" s="7" t="s">
        <v>372</v>
      </c>
      <c r="U28" s="7" t="s">
        <v>397</v>
      </c>
      <c r="V28" s="5" t="s">
        <v>85</v>
      </c>
      <c r="W28" s="10" t="str">
        <f>HYPERLINK("https://www.google.com/maps?q=62.051516,-163.175166","map: current")</f>
        <v>map: current</v>
      </c>
      <c r="X28" s="5"/>
    </row>
    <row r="29" ht="15.75" customHeight="1">
      <c r="A29" s="5" t="s">
        <v>367</v>
      </c>
      <c r="B29" s="5" t="s">
        <v>407</v>
      </c>
      <c r="C29" s="5">
        <v>939.0</v>
      </c>
      <c r="D29" s="5">
        <v>1485.0</v>
      </c>
      <c r="E29" s="5" t="s">
        <v>408</v>
      </c>
      <c r="F29" s="5" t="s">
        <v>386</v>
      </c>
      <c r="G29" s="5">
        <v>62.0519</v>
      </c>
      <c r="H29" s="5">
        <v>-163.17254</v>
      </c>
      <c r="I29" s="5" t="s">
        <v>388</v>
      </c>
      <c r="J29" s="5" t="s">
        <v>66</v>
      </c>
      <c r="K29" s="7"/>
      <c r="L29" s="7"/>
      <c r="M29" s="5"/>
      <c r="N29" s="5"/>
      <c r="O29" s="5" t="s">
        <v>71</v>
      </c>
      <c r="P29" s="5"/>
      <c r="Q29" s="5"/>
      <c r="R29" s="5" t="s">
        <v>388</v>
      </c>
      <c r="S29" s="6" t="s">
        <v>64</v>
      </c>
      <c r="T29" s="7" t="s">
        <v>372</v>
      </c>
      <c r="U29" s="7" t="s">
        <v>414</v>
      </c>
      <c r="V29" s="5" t="s">
        <v>85</v>
      </c>
      <c r="W29" s="10" t="str">
        <f>HYPERLINK("https://www.google.com/maps?q=62.0519,-163.17254","map: current")</f>
        <v>map: current</v>
      </c>
      <c r="X29" s="5"/>
    </row>
    <row r="30" ht="15.75" customHeight="1">
      <c r="A30" s="5" t="s">
        <v>367</v>
      </c>
      <c r="B30" s="5" t="s">
        <v>421</v>
      </c>
      <c r="C30" s="5">
        <v>1093.0</v>
      </c>
      <c r="D30" s="5">
        <v>1486.0</v>
      </c>
      <c r="E30" s="5" t="s">
        <v>424</v>
      </c>
      <c r="F30" s="5" t="s">
        <v>386</v>
      </c>
      <c r="G30" s="5">
        <v>62.06083</v>
      </c>
      <c r="H30" s="5">
        <v>-163.3018</v>
      </c>
      <c r="I30" s="5" t="s">
        <v>388</v>
      </c>
      <c r="J30" s="5" t="s">
        <v>66</v>
      </c>
      <c r="K30" s="7"/>
      <c r="L30" s="7"/>
      <c r="M30" s="5"/>
      <c r="N30" s="5"/>
      <c r="O30" s="5" t="s">
        <v>71</v>
      </c>
      <c r="P30" s="5"/>
      <c r="Q30" s="5"/>
      <c r="R30" s="5" t="s">
        <v>388</v>
      </c>
      <c r="S30" s="6" t="s">
        <v>64</v>
      </c>
      <c r="T30" s="7" t="s">
        <v>372</v>
      </c>
      <c r="U30" s="7" t="s">
        <v>432</v>
      </c>
      <c r="V30" s="5" t="s">
        <v>85</v>
      </c>
      <c r="W30" s="10" t="str">
        <f>HYPERLINK("https://www.google.com/maps?q=62.06083,-163.3018","map: current")</f>
        <v>map: current</v>
      </c>
      <c r="X30" s="5"/>
    </row>
    <row r="31" ht="15.75" customHeight="1">
      <c r="A31" s="5" t="s">
        <v>367</v>
      </c>
      <c r="B31" s="5" t="s">
        <v>436</v>
      </c>
      <c r="C31" s="5">
        <v>1262.0</v>
      </c>
      <c r="D31" s="5">
        <v>1487.0</v>
      </c>
      <c r="E31" s="5" t="s">
        <v>437</v>
      </c>
      <c r="F31" s="5" t="s">
        <v>386</v>
      </c>
      <c r="G31" s="5">
        <v>62.052793</v>
      </c>
      <c r="H31" s="5">
        <v>-163.181297</v>
      </c>
      <c r="I31" s="5" t="s">
        <v>388</v>
      </c>
      <c r="J31" s="5" t="s">
        <v>66</v>
      </c>
      <c r="K31" s="7"/>
      <c r="L31" s="7"/>
      <c r="M31" s="5"/>
      <c r="N31" s="5"/>
      <c r="O31" s="5" t="s">
        <v>71</v>
      </c>
      <c r="P31" s="5"/>
      <c r="Q31" s="5"/>
      <c r="R31" s="5" t="s">
        <v>388</v>
      </c>
      <c r="S31" s="6" t="s">
        <v>64</v>
      </c>
      <c r="T31" s="7" t="s">
        <v>372</v>
      </c>
      <c r="U31" s="7" t="s">
        <v>438</v>
      </c>
      <c r="V31" s="5" t="s">
        <v>85</v>
      </c>
      <c r="W31" s="10" t="str">
        <f>HYPERLINK("https://www.google.com/maps?q=62.052793,-163.181297","map: current")</f>
        <v>map: current</v>
      </c>
      <c r="X31" s="5"/>
    </row>
    <row r="32" ht="15.75" customHeight="1">
      <c r="A32" s="5" t="s">
        <v>367</v>
      </c>
      <c r="B32" s="5" t="s">
        <v>441</v>
      </c>
      <c r="C32" s="5">
        <v>167.0</v>
      </c>
      <c r="D32" s="5">
        <v>1480.0</v>
      </c>
      <c r="E32" s="5" t="s">
        <v>442</v>
      </c>
      <c r="F32" s="5" t="s">
        <v>443</v>
      </c>
      <c r="G32" s="5">
        <v>56.572258</v>
      </c>
      <c r="H32" s="5">
        <v>-169.671067</v>
      </c>
      <c r="I32" s="5" t="s">
        <v>444</v>
      </c>
      <c r="J32" s="5" t="s">
        <v>66</v>
      </c>
      <c r="K32" s="7"/>
      <c r="L32" s="7"/>
      <c r="M32" s="5"/>
      <c r="N32" s="5"/>
      <c r="O32" s="5" t="s">
        <v>71</v>
      </c>
      <c r="P32" s="5"/>
      <c r="Q32" s="5"/>
      <c r="R32" s="5" t="s">
        <v>444</v>
      </c>
      <c r="S32" s="6" t="s">
        <v>64</v>
      </c>
      <c r="T32" s="7" t="s">
        <v>372</v>
      </c>
      <c r="U32" s="7" t="s">
        <v>448</v>
      </c>
      <c r="V32" s="5" t="s">
        <v>85</v>
      </c>
      <c r="W32" s="10" t="str">
        <f>HYPERLINK("https://www.google.com/maps?q=56.572258,-169.671067","map: current")</f>
        <v>map: current</v>
      </c>
      <c r="X32" s="5"/>
    </row>
    <row r="33" ht="15.75" customHeight="1">
      <c r="A33" s="5" t="s">
        <v>367</v>
      </c>
      <c r="B33" s="5" t="s">
        <v>451</v>
      </c>
      <c r="C33" s="5">
        <v>458.0</v>
      </c>
      <c r="D33" s="5">
        <v>1481.0</v>
      </c>
      <c r="E33" s="5" t="s">
        <v>452</v>
      </c>
      <c r="F33" s="5" t="s">
        <v>443</v>
      </c>
      <c r="G33" s="5">
        <v>56.577222</v>
      </c>
      <c r="H33" s="5">
        <v>-169.663611</v>
      </c>
      <c r="I33" s="5" t="s">
        <v>444</v>
      </c>
      <c r="J33" s="5" t="s">
        <v>66</v>
      </c>
      <c r="K33" s="7"/>
      <c r="L33" s="7"/>
      <c r="M33" s="5"/>
      <c r="N33" s="5"/>
      <c r="O33" s="5" t="s">
        <v>71</v>
      </c>
      <c r="P33" s="5"/>
      <c r="Q33" s="5"/>
      <c r="R33" s="5" t="s">
        <v>444</v>
      </c>
      <c r="S33" s="6" t="s">
        <v>64</v>
      </c>
      <c r="T33" s="7" t="s">
        <v>372</v>
      </c>
      <c r="U33" s="7" t="s">
        <v>453</v>
      </c>
      <c r="V33" s="5" t="s">
        <v>85</v>
      </c>
      <c r="W33" s="10" t="str">
        <f>HYPERLINK("https://www.google.com/maps?q=56.577222,-169.663611","map: current")</f>
        <v>map: current</v>
      </c>
      <c r="X33" s="5"/>
    </row>
    <row r="34" ht="15.75" customHeight="1">
      <c r="A34" s="5" t="s">
        <v>367</v>
      </c>
      <c r="B34" s="5" t="s">
        <v>454</v>
      </c>
      <c r="C34" s="5">
        <v>979.0</v>
      </c>
      <c r="D34" s="5">
        <v>1482.0</v>
      </c>
      <c r="E34" s="5" t="s">
        <v>455</v>
      </c>
      <c r="F34" s="5" t="s">
        <v>443</v>
      </c>
      <c r="G34" s="5">
        <v>56.602823</v>
      </c>
      <c r="H34" s="5">
        <v>-169.543351</v>
      </c>
      <c r="I34" s="5" t="s">
        <v>444</v>
      </c>
      <c r="J34" s="5" t="s">
        <v>66</v>
      </c>
      <c r="K34" s="7"/>
      <c r="L34" s="7"/>
      <c r="M34" s="5"/>
      <c r="N34" s="5"/>
      <c r="O34" s="5" t="s">
        <v>71</v>
      </c>
      <c r="P34" s="5"/>
      <c r="Q34" s="5"/>
      <c r="R34" s="5" t="s">
        <v>444</v>
      </c>
      <c r="S34" s="6" t="s">
        <v>64</v>
      </c>
      <c r="T34" s="7" t="s">
        <v>372</v>
      </c>
      <c r="U34" s="7" t="s">
        <v>458</v>
      </c>
      <c r="V34" s="5" t="s">
        <v>85</v>
      </c>
      <c r="W34" s="10" t="str">
        <f>HYPERLINK("https://www.google.com/maps?q=56.602823,-169.543351","map: current")</f>
        <v>map: current</v>
      </c>
      <c r="X34" s="5"/>
    </row>
    <row r="35" ht="15.75" customHeight="1">
      <c r="A35" s="5" t="s">
        <v>367</v>
      </c>
      <c r="B35" s="5" t="s">
        <v>460</v>
      </c>
      <c r="C35" s="5">
        <v>40.0</v>
      </c>
      <c r="D35" s="5">
        <v>1509.0</v>
      </c>
      <c r="E35" s="5" t="s">
        <v>461</v>
      </c>
      <c r="F35" s="5" t="s">
        <v>462</v>
      </c>
      <c r="G35" s="5">
        <v>57.150475</v>
      </c>
      <c r="H35" s="5">
        <v>-170.250733</v>
      </c>
      <c r="I35" s="5" t="s">
        <v>463</v>
      </c>
      <c r="J35" s="5" t="s">
        <v>66</v>
      </c>
      <c r="K35" s="7"/>
      <c r="L35" s="7"/>
      <c r="M35" s="5"/>
      <c r="N35" s="5"/>
      <c r="O35" s="5" t="s">
        <v>71</v>
      </c>
      <c r="P35" s="5"/>
      <c r="Q35" s="5"/>
      <c r="R35" s="5" t="s">
        <v>463</v>
      </c>
      <c r="S35" s="6" t="s">
        <v>64</v>
      </c>
      <c r="T35" s="7" t="s">
        <v>372</v>
      </c>
      <c r="U35" s="7" t="s">
        <v>464</v>
      </c>
      <c r="V35" s="5" t="s">
        <v>85</v>
      </c>
      <c r="W35" s="10" t="str">
        <f>HYPERLINK("https://www.google.com/maps?q=57.150475,-170.250733","map: current")</f>
        <v>map: current</v>
      </c>
      <c r="X35" s="5"/>
    </row>
    <row r="36" ht="15.75" customHeight="1">
      <c r="A36" s="5" t="s">
        <v>367</v>
      </c>
      <c r="B36" s="5" t="s">
        <v>467</v>
      </c>
      <c r="C36" s="5">
        <v>35.0</v>
      </c>
      <c r="D36" s="5">
        <v>1510.0</v>
      </c>
      <c r="E36" s="5" t="s">
        <v>469</v>
      </c>
      <c r="F36" s="5" t="s">
        <v>462</v>
      </c>
      <c r="G36" s="5">
        <v>57.15813</v>
      </c>
      <c r="H36" s="5">
        <v>-170.229828</v>
      </c>
      <c r="I36" s="5" t="s">
        <v>463</v>
      </c>
      <c r="J36" s="5" t="s">
        <v>66</v>
      </c>
      <c r="K36" s="7"/>
      <c r="L36" s="7"/>
      <c r="M36" s="5"/>
      <c r="N36" s="5"/>
      <c r="O36" s="5" t="s">
        <v>71</v>
      </c>
      <c r="P36" s="5"/>
      <c r="Q36" s="5"/>
      <c r="R36" s="5" t="s">
        <v>463</v>
      </c>
      <c r="S36" s="6" t="s">
        <v>64</v>
      </c>
      <c r="T36" s="7" t="s">
        <v>372</v>
      </c>
      <c r="U36" s="7" t="s">
        <v>472</v>
      </c>
      <c r="V36" s="5" t="s">
        <v>85</v>
      </c>
      <c r="W36" s="10" t="str">
        <f>HYPERLINK("https://www.google.com/maps?q=57.15813,-170.229828","map: current")</f>
        <v>map: current</v>
      </c>
      <c r="X36" s="5"/>
    </row>
    <row r="37" ht="15.75" customHeight="1">
      <c r="A37" s="5" t="s">
        <v>367</v>
      </c>
      <c r="B37" s="5" t="s">
        <v>473</v>
      </c>
      <c r="C37" s="5">
        <v>459.0</v>
      </c>
      <c r="D37" s="5">
        <v>1511.0</v>
      </c>
      <c r="E37" s="5" t="s">
        <v>474</v>
      </c>
      <c r="F37" s="5" t="s">
        <v>462</v>
      </c>
      <c r="G37" s="5">
        <v>57.157869</v>
      </c>
      <c r="H37" s="5">
        <v>-170.220672</v>
      </c>
      <c r="I37" s="5" t="s">
        <v>463</v>
      </c>
      <c r="J37" s="5" t="s">
        <v>66</v>
      </c>
      <c r="K37" s="7"/>
      <c r="L37" s="7"/>
      <c r="M37" s="5"/>
      <c r="N37" s="5"/>
      <c r="O37" s="5" t="s">
        <v>71</v>
      </c>
      <c r="P37" s="5"/>
      <c r="Q37" s="5"/>
      <c r="R37" s="5" t="s">
        <v>463</v>
      </c>
      <c r="S37" s="6" t="s">
        <v>64</v>
      </c>
      <c r="T37" s="7" t="s">
        <v>372</v>
      </c>
      <c r="U37" s="7" t="s">
        <v>477</v>
      </c>
      <c r="V37" s="5" t="s">
        <v>85</v>
      </c>
      <c r="W37" s="10" t="str">
        <f>HYPERLINK("https://www.google.com/maps?q=57.157869,-170.220672","map: current")</f>
        <v>map: current</v>
      </c>
      <c r="X37" s="5"/>
    </row>
    <row r="38" ht="15.75" customHeight="1">
      <c r="A38" s="5" t="s">
        <v>367</v>
      </c>
      <c r="B38" s="5" t="s">
        <v>481</v>
      </c>
      <c r="C38" s="5">
        <v>890.0</v>
      </c>
      <c r="D38" s="5">
        <v>1512.0</v>
      </c>
      <c r="E38" s="5" t="s">
        <v>482</v>
      </c>
      <c r="F38" s="5" t="s">
        <v>462</v>
      </c>
      <c r="G38" s="5">
        <v>57.124673</v>
      </c>
      <c r="H38" s="5">
        <v>-170.283921</v>
      </c>
      <c r="I38" s="5" t="s">
        <v>463</v>
      </c>
      <c r="J38" s="5" t="s">
        <v>66</v>
      </c>
      <c r="K38" s="7"/>
      <c r="L38" s="7"/>
      <c r="M38" s="5"/>
      <c r="N38" s="5"/>
      <c r="O38" s="5" t="s">
        <v>71</v>
      </c>
      <c r="P38" s="5"/>
      <c r="Q38" s="5"/>
      <c r="R38" s="5" t="s">
        <v>463</v>
      </c>
      <c r="S38" s="6" t="s">
        <v>64</v>
      </c>
      <c r="T38" s="7" t="s">
        <v>372</v>
      </c>
      <c r="U38" s="7" t="s">
        <v>486</v>
      </c>
      <c r="V38" s="5" t="s">
        <v>85</v>
      </c>
      <c r="W38" s="10" t="str">
        <f>HYPERLINK("https://www.google.com/maps?q=57.124673,-170.283921","map: current")</f>
        <v>map: current</v>
      </c>
      <c r="X38" s="5"/>
    </row>
    <row r="39" ht="15.75" customHeight="1">
      <c r="A39" s="5" t="s">
        <v>367</v>
      </c>
      <c r="B39" s="5" t="s">
        <v>490</v>
      </c>
      <c r="C39" s="5">
        <v>998.0</v>
      </c>
      <c r="D39" s="5">
        <v>1513.0</v>
      </c>
      <c r="E39" s="5" t="s">
        <v>491</v>
      </c>
      <c r="F39" s="5" t="s">
        <v>462</v>
      </c>
      <c r="G39" s="5">
        <v>57.121002</v>
      </c>
      <c r="H39" s="5">
        <v>-170.279556</v>
      </c>
      <c r="I39" s="5" t="s">
        <v>463</v>
      </c>
      <c r="J39" s="5" t="s">
        <v>66</v>
      </c>
      <c r="K39" s="7"/>
      <c r="L39" s="7"/>
      <c r="M39" s="5"/>
      <c r="N39" s="5"/>
      <c r="O39" s="5" t="s">
        <v>71</v>
      </c>
      <c r="P39" s="5"/>
      <c r="Q39" s="5"/>
      <c r="R39" s="5" t="s">
        <v>463</v>
      </c>
      <c r="S39" s="6" t="s">
        <v>64</v>
      </c>
      <c r="T39" s="7" t="s">
        <v>372</v>
      </c>
      <c r="U39" s="7" t="s">
        <v>492</v>
      </c>
      <c r="V39" s="5" t="s">
        <v>85</v>
      </c>
      <c r="W39" s="10" t="str">
        <f>HYPERLINK("https://www.google.com/maps?q=57.121002,-170.279556","map: current")</f>
        <v>map: current</v>
      </c>
      <c r="X39" s="5"/>
    </row>
    <row r="40" ht="15.75" customHeight="1">
      <c r="A40" s="5" t="s">
        <v>367</v>
      </c>
      <c r="B40" s="5" t="s">
        <v>495</v>
      </c>
      <c r="C40" s="5">
        <v>1088.0</v>
      </c>
      <c r="D40" s="5">
        <v>1514.0</v>
      </c>
      <c r="E40" s="5" t="s">
        <v>496</v>
      </c>
      <c r="F40" s="5" t="s">
        <v>462</v>
      </c>
      <c r="G40" s="5">
        <v>57.17063</v>
      </c>
      <c r="H40" s="5">
        <v>-170.2194</v>
      </c>
      <c r="I40" s="5" t="s">
        <v>463</v>
      </c>
      <c r="J40" s="5" t="s">
        <v>66</v>
      </c>
      <c r="K40" s="7"/>
      <c r="L40" s="7"/>
      <c r="M40" s="5"/>
      <c r="N40" s="5"/>
      <c r="O40" s="5" t="s">
        <v>71</v>
      </c>
      <c r="P40" s="5"/>
      <c r="Q40" s="5"/>
      <c r="R40" s="5" t="s">
        <v>463</v>
      </c>
      <c r="S40" s="6" t="s">
        <v>64</v>
      </c>
      <c r="T40" s="7" t="s">
        <v>372</v>
      </c>
      <c r="U40" s="7" t="s">
        <v>499</v>
      </c>
      <c r="V40" s="5" t="s">
        <v>85</v>
      </c>
      <c r="W40" s="10" t="str">
        <f>HYPERLINK("https://www.google.com/maps?q=57.17063,-170.2194","map: current")</f>
        <v>map: current</v>
      </c>
      <c r="X40" s="5"/>
    </row>
    <row r="41" ht="15.75" customHeight="1">
      <c r="A41" s="5" t="s">
        <v>367</v>
      </c>
      <c r="B41" s="5" t="s">
        <v>500</v>
      </c>
      <c r="C41" s="5">
        <v>1349.0</v>
      </c>
      <c r="D41" s="5">
        <v>320.0</v>
      </c>
      <c r="E41" s="5" t="s">
        <v>501</v>
      </c>
      <c r="F41" s="5" t="s">
        <v>502</v>
      </c>
      <c r="G41" s="5">
        <v>66.923453</v>
      </c>
      <c r="H41" s="5">
        <v>-151.508147</v>
      </c>
      <c r="I41" s="5" t="s">
        <v>503</v>
      </c>
      <c r="J41" s="5" t="s">
        <v>66</v>
      </c>
      <c r="K41" s="7"/>
      <c r="L41" s="7"/>
      <c r="M41" s="5"/>
      <c r="N41" s="5"/>
      <c r="O41" s="5" t="s">
        <v>71</v>
      </c>
      <c r="P41" s="5"/>
      <c r="Q41" s="5"/>
      <c r="R41" s="5" t="s">
        <v>503</v>
      </c>
      <c r="S41" s="6" t="s">
        <v>64</v>
      </c>
      <c r="T41" s="7" t="s">
        <v>372</v>
      </c>
      <c r="U41" s="7" t="s">
        <v>504</v>
      </c>
      <c r="V41" s="5" t="s">
        <v>505</v>
      </c>
      <c r="W41" s="10" t="str">
        <f>HYPERLINK("https://www.google.com/maps?q=66.923453,-151.508147","map: current")</f>
        <v>map: current</v>
      </c>
      <c r="X41" s="5"/>
    </row>
    <row r="42" ht="15.75" customHeight="1">
      <c r="A42" s="5" t="s">
        <v>367</v>
      </c>
      <c r="B42" s="5" t="s">
        <v>508</v>
      </c>
      <c r="C42" s="5">
        <v>1350.0</v>
      </c>
      <c r="D42" s="5">
        <v>321.0</v>
      </c>
      <c r="E42" s="5" t="s">
        <v>512</v>
      </c>
      <c r="F42" s="5" t="s">
        <v>502</v>
      </c>
      <c r="G42" s="5">
        <v>66.918175</v>
      </c>
      <c r="H42" s="5">
        <v>-151.516689</v>
      </c>
      <c r="I42" s="5" t="s">
        <v>503</v>
      </c>
      <c r="J42" s="5" t="s">
        <v>66</v>
      </c>
      <c r="K42" s="7"/>
      <c r="L42" s="7"/>
      <c r="M42" s="5"/>
      <c r="N42" s="5"/>
      <c r="O42" s="5" t="s">
        <v>71</v>
      </c>
      <c r="P42" s="5"/>
      <c r="Q42" s="5"/>
      <c r="R42" s="5" t="s">
        <v>503</v>
      </c>
      <c r="S42" s="6" t="s">
        <v>64</v>
      </c>
      <c r="T42" s="7" t="s">
        <v>372</v>
      </c>
      <c r="U42" s="7" t="s">
        <v>514</v>
      </c>
      <c r="V42" s="5" t="s">
        <v>505</v>
      </c>
      <c r="W42" s="10" t="str">
        <f>HYPERLINK("https://www.google.com/maps?q=66.918175,-151.516689","map: current")</f>
        <v>map: current</v>
      </c>
      <c r="X42" s="5"/>
    </row>
    <row r="43" ht="15.75" customHeight="1">
      <c r="A43" s="5" t="s">
        <v>367</v>
      </c>
      <c r="B43" s="5" t="s">
        <v>515</v>
      </c>
      <c r="C43" s="5">
        <v>1351.0</v>
      </c>
      <c r="D43" s="5">
        <v>322.0</v>
      </c>
      <c r="E43" s="5" t="s">
        <v>516</v>
      </c>
      <c r="F43" s="5" t="s">
        <v>502</v>
      </c>
      <c r="G43" s="5">
        <v>66.919264</v>
      </c>
      <c r="H43" s="5">
        <v>-151.51405</v>
      </c>
      <c r="I43" s="5" t="s">
        <v>503</v>
      </c>
      <c r="J43" s="5" t="s">
        <v>66</v>
      </c>
      <c r="K43" s="7"/>
      <c r="L43" s="7"/>
      <c r="M43" s="5"/>
      <c r="N43" s="5"/>
      <c r="O43" s="5" t="s">
        <v>71</v>
      </c>
      <c r="P43" s="5"/>
      <c r="Q43" s="5"/>
      <c r="R43" s="5" t="s">
        <v>503</v>
      </c>
      <c r="S43" s="6" t="s">
        <v>64</v>
      </c>
      <c r="T43" s="7" t="s">
        <v>372</v>
      </c>
      <c r="U43" s="7" t="s">
        <v>519</v>
      </c>
      <c r="V43" s="5" t="s">
        <v>505</v>
      </c>
      <c r="W43" s="10" t="str">
        <f>HYPERLINK("https://www.google.com/maps?q=66.919264,-151.51405","map: current")</f>
        <v>map: current</v>
      </c>
      <c r="X43" s="5"/>
    </row>
    <row r="44" ht="15.75" customHeight="1">
      <c r="A44" s="5" t="s">
        <v>367</v>
      </c>
      <c r="B44" s="5" t="s">
        <v>522</v>
      </c>
      <c r="C44" s="5">
        <v>1352.0</v>
      </c>
      <c r="D44" s="5">
        <v>323.0</v>
      </c>
      <c r="E44" s="5" t="s">
        <v>523</v>
      </c>
      <c r="F44" s="5" t="s">
        <v>502</v>
      </c>
      <c r="G44" s="5">
        <v>66.921721</v>
      </c>
      <c r="H44" s="5">
        <v>-151.507715</v>
      </c>
      <c r="I44" s="5" t="s">
        <v>503</v>
      </c>
      <c r="J44" s="5" t="s">
        <v>66</v>
      </c>
      <c r="K44" s="7"/>
      <c r="L44" s="7"/>
      <c r="M44" s="5"/>
      <c r="N44" s="5"/>
      <c r="O44" s="5" t="s">
        <v>71</v>
      </c>
      <c r="P44" s="5"/>
      <c r="Q44" s="5"/>
      <c r="R44" s="5" t="s">
        <v>503</v>
      </c>
      <c r="S44" s="6" t="s">
        <v>64</v>
      </c>
      <c r="T44" s="7" t="s">
        <v>372</v>
      </c>
      <c r="U44" s="7" t="s">
        <v>524</v>
      </c>
      <c r="V44" s="5" t="s">
        <v>505</v>
      </c>
      <c r="W44" s="10" t="str">
        <f>HYPERLINK("https://www.google.com/maps?q=66.921721,-151.507715","map: current")</f>
        <v>map: current</v>
      </c>
      <c r="X44" s="5"/>
    </row>
    <row r="45" ht="15.75" customHeight="1">
      <c r="A45" s="5" t="s">
        <v>367</v>
      </c>
      <c r="B45" s="5" t="s">
        <v>527</v>
      </c>
      <c r="C45" s="5">
        <v>1353.0</v>
      </c>
      <c r="D45" s="5">
        <v>324.0</v>
      </c>
      <c r="E45" s="5" t="s">
        <v>528</v>
      </c>
      <c r="F45" s="5" t="s">
        <v>502</v>
      </c>
      <c r="G45" s="5">
        <v>66.921214</v>
      </c>
      <c r="H45" s="5">
        <v>-151.509126</v>
      </c>
      <c r="I45" s="5" t="s">
        <v>503</v>
      </c>
      <c r="J45" s="5" t="s">
        <v>66</v>
      </c>
      <c r="K45" s="7"/>
      <c r="L45" s="7"/>
      <c r="M45" s="5"/>
      <c r="N45" s="5"/>
      <c r="O45" s="5" t="s">
        <v>71</v>
      </c>
      <c r="P45" s="5"/>
      <c r="Q45" s="5"/>
      <c r="R45" s="5" t="s">
        <v>503</v>
      </c>
      <c r="S45" s="6" t="s">
        <v>64</v>
      </c>
      <c r="T45" s="7" t="s">
        <v>372</v>
      </c>
      <c r="U45" s="7" t="s">
        <v>532</v>
      </c>
      <c r="V45" s="5" t="s">
        <v>505</v>
      </c>
      <c r="W45" s="10" t="str">
        <f>HYPERLINK("https://www.google.com/maps?q=66.921214,-151.509126","map: current")</f>
        <v>map: current</v>
      </c>
      <c r="X45" s="5"/>
    </row>
    <row r="46" ht="15.75" customHeight="1">
      <c r="A46" s="5" t="s">
        <v>367</v>
      </c>
      <c r="B46" s="5" t="s">
        <v>534</v>
      </c>
      <c r="C46" s="5">
        <v>1219.0</v>
      </c>
      <c r="D46" s="5">
        <v>1198.0</v>
      </c>
      <c r="E46" s="5" t="s">
        <v>535</v>
      </c>
      <c r="F46" s="5" t="s">
        <v>536</v>
      </c>
      <c r="G46" s="5">
        <v>55.868903</v>
      </c>
      <c r="H46" s="5">
        <v>-133.202584</v>
      </c>
      <c r="I46" s="5" t="s">
        <v>537</v>
      </c>
      <c r="J46" s="5" t="s">
        <v>66</v>
      </c>
      <c r="K46" s="7"/>
      <c r="L46" s="7"/>
      <c r="M46" s="5"/>
      <c r="N46" s="5"/>
      <c r="O46" s="5" t="s">
        <v>71</v>
      </c>
      <c r="P46" s="5"/>
      <c r="Q46" s="5"/>
      <c r="R46" s="5" t="s">
        <v>537</v>
      </c>
      <c r="S46" s="6" t="s">
        <v>64</v>
      </c>
      <c r="T46" s="7" t="s">
        <v>372</v>
      </c>
      <c r="U46" s="7" t="s">
        <v>538</v>
      </c>
      <c r="V46" s="5" t="s">
        <v>176</v>
      </c>
      <c r="W46" s="10" t="str">
        <f>HYPERLINK("https://www.google.com/maps?q=55.868903,-133.202584","map: current")</f>
        <v>map: current</v>
      </c>
      <c r="X46" s="5"/>
    </row>
    <row r="47" ht="15.75" customHeight="1">
      <c r="A47" s="5" t="s">
        <v>367</v>
      </c>
      <c r="B47" s="5" t="s">
        <v>541</v>
      </c>
      <c r="C47" s="5">
        <v>464.0</v>
      </c>
      <c r="D47" s="5">
        <v>894.0</v>
      </c>
      <c r="E47" s="5" t="s">
        <v>543</v>
      </c>
      <c r="F47" s="5" t="s">
        <v>544</v>
      </c>
      <c r="G47" s="5">
        <v>61.526121</v>
      </c>
      <c r="H47" s="5">
        <v>-160.348529</v>
      </c>
      <c r="I47" s="5" t="s">
        <v>363</v>
      </c>
      <c r="J47" s="5" t="s">
        <v>66</v>
      </c>
      <c r="K47" s="7"/>
      <c r="L47" s="7"/>
      <c r="M47" s="5"/>
      <c r="N47" s="5"/>
      <c r="O47" s="5" t="s">
        <v>71</v>
      </c>
      <c r="P47" s="5"/>
      <c r="Q47" s="5"/>
      <c r="R47" s="5" t="s">
        <v>363</v>
      </c>
      <c r="S47" s="6" t="s">
        <v>64</v>
      </c>
      <c r="T47" s="7" t="s">
        <v>372</v>
      </c>
      <c r="U47" s="7" t="s">
        <v>547</v>
      </c>
      <c r="V47" s="5" t="s">
        <v>85</v>
      </c>
      <c r="W47" s="10" t="str">
        <f>HYPERLINK("https://www.google.com/maps?q=61.526121,-160.348529","map: current")</f>
        <v>map: current</v>
      </c>
      <c r="X47" s="5"/>
    </row>
    <row r="48" ht="15.75" customHeight="1">
      <c r="A48" s="5" t="s">
        <v>367</v>
      </c>
      <c r="B48" s="5" t="s">
        <v>548</v>
      </c>
      <c r="C48" s="5">
        <v>465.0</v>
      </c>
      <c r="D48" s="5">
        <v>895.0</v>
      </c>
      <c r="E48" s="5" t="s">
        <v>549</v>
      </c>
      <c r="F48" s="5" t="s">
        <v>544</v>
      </c>
      <c r="G48" s="5">
        <v>61.526216</v>
      </c>
      <c r="H48" s="5">
        <v>-160.348395</v>
      </c>
      <c r="I48" s="5" t="s">
        <v>363</v>
      </c>
      <c r="J48" s="5" t="s">
        <v>66</v>
      </c>
      <c r="K48" s="7"/>
      <c r="L48" s="7"/>
      <c r="M48" s="5"/>
      <c r="N48" s="5"/>
      <c r="O48" s="5" t="s">
        <v>71</v>
      </c>
      <c r="P48" s="5"/>
      <c r="Q48" s="5"/>
      <c r="R48" s="5" t="s">
        <v>363</v>
      </c>
      <c r="S48" s="6" t="s">
        <v>64</v>
      </c>
      <c r="T48" s="7" t="s">
        <v>372</v>
      </c>
      <c r="U48" s="7" t="s">
        <v>551</v>
      </c>
      <c r="V48" s="5" t="s">
        <v>85</v>
      </c>
      <c r="W48" s="10" t="str">
        <f>HYPERLINK("https://www.google.com/maps?q=61.526216,-160.348395","map: current")</f>
        <v>map: current</v>
      </c>
      <c r="X48" s="5"/>
    </row>
    <row r="49" ht="15.75" customHeight="1">
      <c r="A49" s="5" t="s">
        <v>367</v>
      </c>
      <c r="B49" s="5" t="s">
        <v>554</v>
      </c>
      <c r="C49" s="5">
        <v>916.0</v>
      </c>
      <c r="D49" s="5">
        <v>896.0</v>
      </c>
      <c r="E49" s="5" t="s">
        <v>555</v>
      </c>
      <c r="F49" s="5" t="s">
        <v>544</v>
      </c>
      <c r="G49" s="5">
        <v>61.526748</v>
      </c>
      <c r="H49" s="5">
        <v>-160.347688</v>
      </c>
      <c r="I49" s="5" t="s">
        <v>363</v>
      </c>
      <c r="J49" s="5" t="s">
        <v>66</v>
      </c>
      <c r="K49" s="7"/>
      <c r="L49" s="7"/>
      <c r="M49" s="5"/>
      <c r="N49" s="5"/>
      <c r="O49" s="5" t="s">
        <v>71</v>
      </c>
      <c r="P49" s="5"/>
      <c r="Q49" s="5"/>
      <c r="R49" s="5" t="s">
        <v>363</v>
      </c>
      <c r="S49" s="6" t="s">
        <v>64</v>
      </c>
      <c r="T49" s="7" t="s">
        <v>372</v>
      </c>
      <c r="U49" s="7" t="s">
        <v>557</v>
      </c>
      <c r="V49" s="5" t="s">
        <v>85</v>
      </c>
      <c r="W49" s="10" t="str">
        <f>HYPERLINK("https://www.google.com/maps?q=61.526748,-160.347688","map: current")</f>
        <v>map: current</v>
      </c>
      <c r="X49" s="5"/>
    </row>
    <row r="50" ht="15.75" customHeight="1">
      <c r="A50" s="5" t="s">
        <v>367</v>
      </c>
      <c r="B50" s="5" t="s">
        <v>558</v>
      </c>
      <c r="C50" s="5">
        <v>1163.0</v>
      </c>
      <c r="D50" s="5">
        <v>897.0</v>
      </c>
      <c r="E50" s="5" t="s">
        <v>560</v>
      </c>
      <c r="F50" s="5" t="s">
        <v>544</v>
      </c>
      <c r="G50" s="5">
        <v>61.538659</v>
      </c>
      <c r="H50" s="5">
        <v>-160.338443</v>
      </c>
      <c r="I50" s="5" t="s">
        <v>363</v>
      </c>
      <c r="J50" s="5" t="s">
        <v>66</v>
      </c>
      <c r="K50" s="7"/>
      <c r="L50" s="7"/>
      <c r="M50" s="5"/>
      <c r="N50" s="5"/>
      <c r="O50" s="5" t="s">
        <v>71</v>
      </c>
      <c r="P50" s="5"/>
      <c r="Q50" s="5"/>
      <c r="R50" s="5" t="s">
        <v>363</v>
      </c>
      <c r="S50" s="6" t="s">
        <v>64</v>
      </c>
      <c r="T50" s="7" t="s">
        <v>372</v>
      </c>
      <c r="U50" s="7" t="s">
        <v>563</v>
      </c>
      <c r="V50" s="5" t="s">
        <v>85</v>
      </c>
      <c r="W50" s="10" t="str">
        <f>HYPERLINK("https://www.google.com/maps?q=61.538659,-160.338443","map: current")</f>
        <v>map: current</v>
      </c>
      <c r="X50" s="5"/>
    </row>
    <row r="51" ht="15.75" customHeight="1">
      <c r="A51" s="5" t="s">
        <v>367</v>
      </c>
      <c r="B51" s="5" t="s">
        <v>565</v>
      </c>
      <c r="C51" s="5">
        <v>163.0</v>
      </c>
      <c r="D51" s="5">
        <v>520.0</v>
      </c>
      <c r="E51" s="5" t="s">
        <v>566</v>
      </c>
      <c r="F51" s="5" t="s">
        <v>567</v>
      </c>
      <c r="G51" s="5">
        <v>53.88725</v>
      </c>
      <c r="H51" s="5">
        <v>-166.546839</v>
      </c>
      <c r="I51" s="5" t="s">
        <v>215</v>
      </c>
      <c r="J51" s="5" t="s">
        <v>66</v>
      </c>
      <c r="K51" s="7"/>
      <c r="L51" s="7"/>
      <c r="M51" s="5"/>
      <c r="N51" s="5"/>
      <c r="O51" s="5" t="s">
        <v>71</v>
      </c>
      <c r="P51" s="5"/>
      <c r="Q51" s="5"/>
      <c r="R51" s="5" t="s">
        <v>215</v>
      </c>
      <c r="S51" s="6" t="s">
        <v>64</v>
      </c>
      <c r="T51" s="7" t="s">
        <v>372</v>
      </c>
      <c r="U51" s="7" t="s">
        <v>568</v>
      </c>
      <c r="V51" s="5" t="s">
        <v>85</v>
      </c>
      <c r="W51" s="10" t="str">
        <f>HYPERLINK("https://www.google.com/maps?q=53.88725,-166.546839","map: current")</f>
        <v>map: current</v>
      </c>
      <c r="X51" s="5"/>
    </row>
    <row r="52" ht="15.75" customHeight="1">
      <c r="A52" s="5" t="s">
        <v>367</v>
      </c>
      <c r="B52" s="5" t="s">
        <v>572</v>
      </c>
      <c r="C52" s="5">
        <v>443.0</v>
      </c>
      <c r="D52" s="5">
        <v>521.0</v>
      </c>
      <c r="E52" s="5" t="s">
        <v>573</v>
      </c>
      <c r="F52" s="5" t="s">
        <v>567</v>
      </c>
      <c r="G52" s="5">
        <v>53.896944</v>
      </c>
      <c r="H52" s="5">
        <v>-166.54</v>
      </c>
      <c r="I52" s="5" t="s">
        <v>215</v>
      </c>
      <c r="J52" s="5" t="s">
        <v>66</v>
      </c>
      <c r="K52" s="7"/>
      <c r="L52" s="7"/>
      <c r="M52" s="5"/>
      <c r="N52" s="5"/>
      <c r="O52" s="5" t="s">
        <v>71</v>
      </c>
      <c r="P52" s="5"/>
      <c r="Q52" s="5"/>
      <c r="R52" s="5" t="s">
        <v>215</v>
      </c>
      <c r="S52" s="6" t="s">
        <v>64</v>
      </c>
      <c r="T52" s="7" t="s">
        <v>372</v>
      </c>
      <c r="U52" s="7" t="s">
        <v>575</v>
      </c>
      <c r="V52" s="5" t="s">
        <v>85</v>
      </c>
      <c r="W52" s="10" t="str">
        <f>HYPERLINK("https://www.google.com/maps?q=53.896944,-166.54","map: current")</f>
        <v>map: current</v>
      </c>
      <c r="X52" s="5"/>
    </row>
    <row r="53" ht="15.75" customHeight="1">
      <c r="A53" s="5" t="s">
        <v>367</v>
      </c>
      <c r="B53" s="5" t="s">
        <v>577</v>
      </c>
      <c r="C53" s="5">
        <v>865.0</v>
      </c>
      <c r="D53" s="5">
        <v>522.0</v>
      </c>
      <c r="E53" s="5" t="s">
        <v>578</v>
      </c>
      <c r="F53" s="5" t="s">
        <v>567</v>
      </c>
      <c r="G53" s="5">
        <v>53.912423</v>
      </c>
      <c r="H53" s="5">
        <v>-166.506715</v>
      </c>
      <c r="I53" s="5" t="s">
        <v>215</v>
      </c>
      <c r="J53" s="5" t="s">
        <v>66</v>
      </c>
      <c r="K53" s="7"/>
      <c r="L53" s="7"/>
      <c r="M53" s="5"/>
      <c r="N53" s="5"/>
      <c r="O53" s="5" t="s">
        <v>71</v>
      </c>
      <c r="P53" s="5"/>
      <c r="Q53" s="5"/>
      <c r="R53" s="5" t="s">
        <v>215</v>
      </c>
      <c r="S53" s="6" t="s">
        <v>64</v>
      </c>
      <c r="T53" s="7" t="s">
        <v>372</v>
      </c>
      <c r="U53" s="7" t="s">
        <v>582</v>
      </c>
      <c r="V53" s="5" t="s">
        <v>85</v>
      </c>
      <c r="W53" s="10" t="str">
        <f>HYPERLINK("https://www.google.com/maps?q=53.912423,-166.506715","map: current")</f>
        <v>map: current</v>
      </c>
      <c r="X53" s="5"/>
    </row>
    <row r="54" ht="15.75" customHeight="1">
      <c r="A54" s="5" t="s">
        <v>367</v>
      </c>
      <c r="B54" s="5" t="s">
        <v>584</v>
      </c>
      <c r="C54" s="5">
        <v>1049.0</v>
      </c>
      <c r="D54" s="5">
        <v>523.0</v>
      </c>
      <c r="E54" s="5" t="s">
        <v>585</v>
      </c>
      <c r="F54" s="5" t="s">
        <v>567</v>
      </c>
      <c r="G54" s="5">
        <v>53.90514</v>
      </c>
      <c r="H54" s="5">
        <v>-166.5478</v>
      </c>
      <c r="I54" s="5" t="s">
        <v>215</v>
      </c>
      <c r="J54" s="5" t="s">
        <v>66</v>
      </c>
      <c r="K54" s="7"/>
      <c r="L54" s="7"/>
      <c r="M54" s="5"/>
      <c r="N54" s="5"/>
      <c r="O54" s="5" t="s">
        <v>71</v>
      </c>
      <c r="P54" s="5"/>
      <c r="Q54" s="5"/>
      <c r="R54" s="5" t="s">
        <v>215</v>
      </c>
      <c r="S54" s="6" t="s">
        <v>64</v>
      </c>
      <c r="T54" s="7" t="s">
        <v>372</v>
      </c>
      <c r="U54" s="7" t="s">
        <v>586</v>
      </c>
      <c r="V54" s="5" t="s">
        <v>85</v>
      </c>
      <c r="W54" s="10" t="str">
        <f>HYPERLINK("https://www.google.com/maps?q=53.90514,-166.5478","map: current")</f>
        <v>map: current</v>
      </c>
      <c r="X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5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13.0"/>
    <col customWidth="1" min="3" max="3" width="18.0"/>
    <col customWidth="1" min="4" max="7" width="13.0"/>
    <col customWidth="1" min="8" max="8" width="50.0"/>
    <col customWidth="1" min="9" max="9" width="70.0"/>
    <col customWidth="1" min="10" max="10" width="60.0"/>
    <col customWidth="1" min="11" max="11" width="22.0"/>
    <col customWidth="1" min="12" max="12" width="26.0"/>
    <col customWidth="1" min="13" max="26" width="8.71"/>
  </cols>
  <sheetData>
    <row r="1">
      <c r="A1" s="3" t="s">
        <v>6</v>
      </c>
      <c r="B1" s="3" t="s">
        <v>12</v>
      </c>
      <c r="C1" s="3" t="s">
        <v>3</v>
      </c>
      <c r="D1" s="3" t="s">
        <v>18</v>
      </c>
      <c r="E1" s="3" t="s">
        <v>21</v>
      </c>
      <c r="F1" s="3" t="s">
        <v>17</v>
      </c>
      <c r="G1" s="3" t="s">
        <v>20</v>
      </c>
      <c r="H1" s="3" t="s">
        <v>24</v>
      </c>
      <c r="I1" s="3" t="s">
        <v>37</v>
      </c>
      <c r="J1" s="3" t="s">
        <v>43</v>
      </c>
      <c r="K1" s="3" t="s">
        <v>48</v>
      </c>
      <c r="L1" s="3" t="s">
        <v>52</v>
      </c>
    </row>
    <row r="2">
      <c r="A2" s="5" t="s">
        <v>56</v>
      </c>
      <c r="B2" s="5" t="s">
        <v>59</v>
      </c>
      <c r="C2" s="5" t="s">
        <v>60</v>
      </c>
      <c r="D2" s="6" t="s">
        <v>64</v>
      </c>
      <c r="E2" s="5" t="s">
        <v>71</v>
      </c>
      <c r="F2" s="5" t="s">
        <v>72</v>
      </c>
      <c r="G2" s="5" t="s">
        <v>73</v>
      </c>
      <c r="H2" s="7" t="s">
        <v>77</v>
      </c>
      <c r="I2" s="7" t="s">
        <v>80</v>
      </c>
      <c r="J2" s="7" t="s">
        <v>81</v>
      </c>
      <c r="K2" s="8"/>
      <c r="L2" s="8"/>
    </row>
    <row r="3">
      <c r="A3" s="5" t="s">
        <v>86</v>
      </c>
      <c r="B3" s="5" t="s">
        <v>87</v>
      </c>
      <c r="C3" s="5" t="s">
        <v>88</v>
      </c>
      <c r="D3" s="9" t="s">
        <v>89</v>
      </c>
      <c r="E3" s="5" t="s">
        <v>90</v>
      </c>
      <c r="F3" s="5"/>
      <c r="G3" s="5"/>
      <c r="H3" s="7" t="s">
        <v>91</v>
      </c>
      <c r="I3" s="7" t="s">
        <v>92</v>
      </c>
      <c r="J3" s="7" t="s">
        <v>93</v>
      </c>
      <c r="K3" s="8"/>
      <c r="L3" s="8"/>
    </row>
    <row r="4">
      <c r="A4" s="5" t="s">
        <v>94</v>
      </c>
      <c r="B4" s="5" t="s">
        <v>95</v>
      </c>
      <c r="C4" s="5" t="s">
        <v>88</v>
      </c>
      <c r="D4" s="9" t="s">
        <v>89</v>
      </c>
      <c r="E4" s="5" t="s">
        <v>90</v>
      </c>
      <c r="F4" s="5"/>
      <c r="G4" s="5"/>
      <c r="H4" s="7"/>
      <c r="I4" s="7" t="s">
        <v>96</v>
      </c>
      <c r="J4" s="7" t="s">
        <v>97</v>
      </c>
      <c r="K4" s="8"/>
      <c r="L4" s="8"/>
    </row>
    <row r="5">
      <c r="A5" s="5" t="s">
        <v>99</v>
      </c>
      <c r="B5" s="5" t="s">
        <v>95</v>
      </c>
      <c r="C5" s="5" t="s">
        <v>88</v>
      </c>
      <c r="D5" s="9" t="s">
        <v>89</v>
      </c>
      <c r="E5" s="5" t="s">
        <v>90</v>
      </c>
      <c r="F5" s="5"/>
      <c r="G5" s="5"/>
      <c r="H5" s="7"/>
      <c r="I5" s="7" t="s">
        <v>96</v>
      </c>
      <c r="J5" s="7" t="s">
        <v>107</v>
      </c>
      <c r="K5" s="8"/>
      <c r="L5" s="8"/>
    </row>
    <row r="6">
      <c r="A6" s="5" t="s">
        <v>108</v>
      </c>
      <c r="B6" s="5" t="s">
        <v>109</v>
      </c>
      <c r="C6" s="5" t="s">
        <v>88</v>
      </c>
      <c r="D6" s="6" t="s">
        <v>64</v>
      </c>
      <c r="E6" s="5" t="s">
        <v>71</v>
      </c>
      <c r="F6" s="5" t="s">
        <v>66</v>
      </c>
      <c r="G6" s="5"/>
      <c r="H6" s="7" t="s">
        <v>111</v>
      </c>
      <c r="I6" s="7" t="s">
        <v>112</v>
      </c>
      <c r="J6" s="7" t="s">
        <v>113</v>
      </c>
      <c r="K6" s="8"/>
      <c r="L6" s="8"/>
    </row>
    <row r="7">
      <c r="A7" s="5" t="s">
        <v>114</v>
      </c>
      <c r="B7" s="5" t="s">
        <v>115</v>
      </c>
      <c r="C7" s="5" t="s">
        <v>88</v>
      </c>
      <c r="D7" s="6" t="s">
        <v>64</v>
      </c>
      <c r="E7" s="5" t="s">
        <v>78</v>
      </c>
      <c r="F7" s="5" t="s">
        <v>72</v>
      </c>
      <c r="G7" s="5" t="s">
        <v>116</v>
      </c>
      <c r="H7" s="7" t="s">
        <v>117</v>
      </c>
      <c r="I7" s="7" t="s">
        <v>118</v>
      </c>
      <c r="J7" s="7" t="s">
        <v>119</v>
      </c>
      <c r="K7" s="8"/>
      <c r="L7" s="8"/>
    </row>
    <row r="8">
      <c r="A8" s="5" t="s">
        <v>120</v>
      </c>
      <c r="B8" s="5" t="s">
        <v>121</v>
      </c>
      <c r="C8" s="5" t="s">
        <v>122</v>
      </c>
      <c r="D8" s="6" t="s">
        <v>64</v>
      </c>
      <c r="E8" s="5" t="s">
        <v>123</v>
      </c>
      <c r="F8" s="5" t="s">
        <v>72</v>
      </c>
      <c r="G8" s="5"/>
      <c r="H8" s="7" t="s">
        <v>124</v>
      </c>
      <c r="I8" s="7" t="s">
        <v>126</v>
      </c>
      <c r="J8" s="7" t="s">
        <v>127</v>
      </c>
      <c r="K8" s="8"/>
      <c r="L8" s="8"/>
    </row>
    <row r="9">
      <c r="A9" s="5" t="s">
        <v>132</v>
      </c>
      <c r="B9" s="5" t="s">
        <v>135</v>
      </c>
      <c r="C9" s="5" t="s">
        <v>122</v>
      </c>
      <c r="D9" s="9" t="s">
        <v>89</v>
      </c>
      <c r="E9" s="5" t="s">
        <v>90</v>
      </c>
      <c r="F9" s="5"/>
      <c r="G9" s="5"/>
      <c r="H9" s="7" t="s">
        <v>140</v>
      </c>
      <c r="I9" s="7" t="s">
        <v>142</v>
      </c>
      <c r="J9" s="7" t="s">
        <v>144</v>
      </c>
      <c r="K9" s="8"/>
      <c r="L9"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9"/>
  <dataValidations>
    <dataValidation type="list" allowBlank="1" sqref="K2:K9">
      <formula1>"approve,approve with my value,reject,ask AEA,skip for now,drop facility"</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8.0"/>
    <col customWidth="1" min="2" max="4" width="13.0"/>
    <col customWidth="1" min="5" max="5" width="38.0"/>
    <col customWidth="1" min="6" max="8" width="13.0"/>
    <col customWidth="1" min="9" max="9" width="20.0"/>
    <col customWidth="1" min="10" max="11" width="13.0"/>
    <col customWidth="1" min="12" max="12" width="24.0"/>
    <col customWidth="1" min="13" max="13" width="28.0"/>
    <col customWidth="1" min="14" max="15" width="13.0"/>
    <col customWidth="1" min="16" max="16" width="70.0"/>
    <col customWidth="1" min="17" max="18" width="13.0"/>
    <col customWidth="1" min="19" max="19" width="70.0"/>
    <col customWidth="1" min="20" max="20" width="80.0"/>
    <col customWidth="1" min="21" max="21" width="24.0"/>
    <col customWidth="1" min="22" max="22" width="13.0"/>
    <col customWidth="1" min="23" max="23" width="24.0"/>
    <col customWidth="1" min="24" max="24" width="40.0"/>
    <col customWidth="1" min="25" max="26" width="13.0"/>
  </cols>
  <sheetData>
    <row r="1">
      <c r="A1" s="3" t="s">
        <v>5</v>
      </c>
      <c r="B1" s="3" t="s">
        <v>6</v>
      </c>
      <c r="C1" s="3" t="s">
        <v>7</v>
      </c>
      <c r="D1" s="3" t="s">
        <v>9</v>
      </c>
      <c r="E1" s="3" t="s">
        <v>10</v>
      </c>
      <c r="F1" s="3" t="s">
        <v>12</v>
      </c>
      <c r="G1" s="3" t="s">
        <v>22</v>
      </c>
      <c r="H1" s="3" t="s">
        <v>25</v>
      </c>
      <c r="I1" s="3" t="s">
        <v>28</v>
      </c>
      <c r="J1" s="3" t="s">
        <v>13</v>
      </c>
      <c r="K1" s="3" t="s">
        <v>15</v>
      </c>
      <c r="L1" s="3" t="s">
        <v>34</v>
      </c>
      <c r="M1" s="3" t="s">
        <v>38</v>
      </c>
      <c r="N1" s="3" t="s">
        <v>40</v>
      </c>
      <c r="O1" s="3" t="s">
        <v>44</v>
      </c>
      <c r="P1" s="3" t="s">
        <v>47</v>
      </c>
      <c r="Q1" s="3" t="s">
        <v>49</v>
      </c>
      <c r="R1" s="3" t="s">
        <v>53</v>
      </c>
      <c r="S1" s="3" t="s">
        <v>54</v>
      </c>
      <c r="T1" s="3" t="s">
        <v>37</v>
      </c>
      <c r="U1" s="3" t="s">
        <v>46</v>
      </c>
      <c r="V1" s="3" t="s">
        <v>58</v>
      </c>
      <c r="W1" s="3" t="s">
        <v>20</v>
      </c>
      <c r="X1" s="3" t="s">
        <v>62</v>
      </c>
      <c r="Y1" s="3" t="s">
        <v>27</v>
      </c>
      <c r="Z1" s="3" t="s">
        <v>30</v>
      </c>
    </row>
    <row r="2">
      <c r="A2" s="5" t="s">
        <v>67</v>
      </c>
      <c r="B2" s="5" t="s">
        <v>68</v>
      </c>
      <c r="C2" s="5">
        <v>445.0</v>
      </c>
      <c r="D2" s="5">
        <v>1516.0</v>
      </c>
      <c r="E2" s="5" t="s">
        <v>69</v>
      </c>
      <c r="F2" s="5" t="s">
        <v>70</v>
      </c>
      <c r="G2" s="5"/>
      <c r="H2" s="5"/>
      <c r="I2" s="5"/>
      <c r="J2" s="5">
        <v>53.896944</v>
      </c>
      <c r="K2" s="5">
        <v>-166.54</v>
      </c>
      <c r="L2" s="5" t="s">
        <v>75</v>
      </c>
      <c r="M2" s="5" t="s">
        <v>78</v>
      </c>
      <c r="N2" s="5">
        <v>55.34522</v>
      </c>
      <c r="O2" s="5">
        <v>-160.48963</v>
      </c>
      <c r="P2" s="7" t="s">
        <v>82</v>
      </c>
      <c r="Q2" s="10" t="str">
        <f>HYPERLINK("https://www.google.com/maps?q=53.896944,-166.54","map: current")</f>
        <v>map: current</v>
      </c>
      <c r="R2" s="10" t="str">
        <f>HYPERLINK("https://www.google.com/maps?q=55.34522,-160.48963","map: suggested")</f>
        <v>map: suggested</v>
      </c>
      <c r="S2" s="7"/>
      <c r="T2" s="7" t="s">
        <v>102</v>
      </c>
      <c r="U2" s="5" t="s">
        <v>104</v>
      </c>
      <c r="V2" s="8"/>
      <c r="W2" s="8"/>
      <c r="X2" s="11"/>
      <c r="Y2" s="8"/>
      <c r="Z2" s="8"/>
    </row>
    <row r="3">
      <c r="A3" s="12" t="s">
        <v>67</v>
      </c>
      <c r="B3" s="12" t="s">
        <v>125</v>
      </c>
      <c r="C3" s="12">
        <v>1680.0</v>
      </c>
      <c r="D3" s="12">
        <v>1228.0</v>
      </c>
      <c r="E3" s="12" t="s">
        <v>129</v>
      </c>
      <c r="F3" s="12" t="s">
        <v>130</v>
      </c>
      <c r="G3" s="12">
        <v>621.0</v>
      </c>
      <c r="H3" s="12" t="s">
        <v>134</v>
      </c>
      <c r="I3" s="12" t="s">
        <v>136</v>
      </c>
      <c r="J3" s="12">
        <v>59.755523</v>
      </c>
      <c r="K3" s="12">
        <v>-154.902174</v>
      </c>
      <c r="L3" s="12" t="s">
        <v>75</v>
      </c>
      <c r="M3" s="12" t="s">
        <v>139</v>
      </c>
      <c r="N3" s="12">
        <v>59.755523</v>
      </c>
      <c r="O3" s="12">
        <v>-154.902174</v>
      </c>
      <c r="P3" s="13" t="s">
        <v>143</v>
      </c>
      <c r="Q3" s="14" t="str">
        <f t="shared" ref="Q3:Q4" si="1">HYPERLINK("https://www.google.com/maps?q=59.755523,-154.902174","map: current")</f>
        <v>map: current</v>
      </c>
      <c r="R3" s="14" t="str">
        <f>HYPERLINK("https://www.google.com/maps?q=59.755523,-154.902174","map: suggested")</f>
        <v>map: suggested</v>
      </c>
      <c r="S3" s="13" t="s">
        <v>153</v>
      </c>
      <c r="T3" s="13" t="s">
        <v>154</v>
      </c>
      <c r="U3" s="12" t="s">
        <v>155</v>
      </c>
      <c r="V3" s="15" t="s">
        <v>66</v>
      </c>
      <c r="W3" s="8"/>
      <c r="X3" s="16"/>
      <c r="Y3" s="15"/>
      <c r="Z3" s="17"/>
    </row>
    <row r="4">
      <c r="A4" s="12" t="s">
        <v>67</v>
      </c>
      <c r="B4" s="12" t="s">
        <v>157</v>
      </c>
      <c r="C4" s="12">
        <v>1733.0</v>
      </c>
      <c r="D4" s="12">
        <v>1362.0</v>
      </c>
      <c r="E4" s="12" t="s">
        <v>159</v>
      </c>
      <c r="F4" s="12" t="s">
        <v>161</v>
      </c>
      <c r="G4" s="12">
        <v>621.0</v>
      </c>
      <c r="H4" s="12" t="s">
        <v>134</v>
      </c>
      <c r="I4" s="12" t="s">
        <v>136</v>
      </c>
      <c r="J4" s="12">
        <v>59.755523</v>
      </c>
      <c r="K4" s="12">
        <v>-154.902174</v>
      </c>
      <c r="L4" s="12" t="s">
        <v>75</v>
      </c>
      <c r="M4" s="12" t="s">
        <v>162</v>
      </c>
      <c r="N4" s="12">
        <v>55.91043</v>
      </c>
      <c r="O4" s="12">
        <v>-159.14614</v>
      </c>
      <c r="P4" s="13" t="s">
        <v>164</v>
      </c>
      <c r="Q4" s="14" t="str">
        <f t="shared" si="1"/>
        <v>map: current</v>
      </c>
      <c r="R4" s="14" t="str">
        <f>HYPERLINK("https://www.google.com/maps?q=55.91043,-159.14614","map: suggested")</f>
        <v>map: suggested</v>
      </c>
      <c r="S4" s="13" t="s">
        <v>167</v>
      </c>
      <c r="T4" s="13" t="s">
        <v>170</v>
      </c>
      <c r="U4" s="12" t="s">
        <v>104</v>
      </c>
      <c r="V4" s="15" t="s">
        <v>72</v>
      </c>
      <c r="W4" s="8"/>
      <c r="X4" s="16"/>
      <c r="Y4" s="15"/>
      <c r="Z4" s="17"/>
    </row>
    <row r="5">
      <c r="A5" s="18" t="s">
        <v>67</v>
      </c>
      <c r="B5" s="18" t="s">
        <v>177</v>
      </c>
      <c r="C5" s="18">
        <v>1654.0</v>
      </c>
      <c r="D5" s="18">
        <v>1189.0</v>
      </c>
      <c r="E5" s="18" t="s">
        <v>178</v>
      </c>
      <c r="F5" s="18" t="s">
        <v>179</v>
      </c>
      <c r="G5" s="18">
        <v>830.0</v>
      </c>
      <c r="H5" s="18" t="s">
        <v>180</v>
      </c>
      <c r="I5" s="18" t="s">
        <v>136</v>
      </c>
      <c r="J5" s="18">
        <v>60.81077</v>
      </c>
      <c r="K5" s="18">
        <v>-161.422558</v>
      </c>
      <c r="L5" s="18" t="s">
        <v>75</v>
      </c>
      <c r="M5" s="18" t="s">
        <v>139</v>
      </c>
      <c r="N5" s="18">
        <v>60.81077</v>
      </c>
      <c r="O5" s="18">
        <v>-161.422558</v>
      </c>
      <c r="P5" s="19" t="s">
        <v>184</v>
      </c>
      <c r="Q5" s="20" t="str">
        <f t="shared" ref="Q5:Q6" si="2">HYPERLINK("https://www.google.com/maps?q=60.81077,-161.422558","map: current")</f>
        <v>map: current</v>
      </c>
      <c r="R5" s="20" t="str">
        <f>HYPERLINK("https://www.google.com/maps?q=60.81077,-161.422558","map: suggested")</f>
        <v>map: suggested</v>
      </c>
      <c r="S5" s="19" t="s">
        <v>203</v>
      </c>
      <c r="T5" s="19" t="s">
        <v>204</v>
      </c>
      <c r="U5" s="18" t="s">
        <v>155</v>
      </c>
      <c r="V5" s="15" t="s">
        <v>66</v>
      </c>
      <c r="W5" s="8"/>
      <c r="X5" s="16"/>
      <c r="Y5" s="8"/>
      <c r="Z5" s="8"/>
    </row>
    <row r="6">
      <c r="A6" s="18" t="s">
        <v>67</v>
      </c>
      <c r="B6" s="18" t="s">
        <v>207</v>
      </c>
      <c r="C6" s="18">
        <v>1893.0</v>
      </c>
      <c r="D6" s="18">
        <v>1713.0</v>
      </c>
      <c r="E6" s="18" t="s">
        <v>208</v>
      </c>
      <c r="F6" s="18" t="s">
        <v>210</v>
      </c>
      <c r="G6" s="18">
        <v>830.0</v>
      </c>
      <c r="H6" s="18" t="s">
        <v>180</v>
      </c>
      <c r="I6" s="18" t="s">
        <v>136</v>
      </c>
      <c r="J6" s="18">
        <v>60.81077</v>
      </c>
      <c r="K6" s="18">
        <v>-161.422558</v>
      </c>
      <c r="L6" s="18" t="s">
        <v>75</v>
      </c>
      <c r="M6" s="18" t="s">
        <v>162</v>
      </c>
      <c r="N6" s="18">
        <v>60.52933</v>
      </c>
      <c r="O6" s="18">
        <v>-165.1067</v>
      </c>
      <c r="P6" s="19" t="s">
        <v>216</v>
      </c>
      <c r="Q6" s="20" t="str">
        <f t="shared" si="2"/>
        <v>map: current</v>
      </c>
      <c r="R6" s="20" t="str">
        <f>HYPERLINK("https://www.google.com/maps?q=60.52933,-165.1067","map: suggested")</f>
        <v>map: suggested</v>
      </c>
      <c r="S6" s="19" t="s">
        <v>220</v>
      </c>
      <c r="T6" s="19" t="s">
        <v>221</v>
      </c>
      <c r="U6" s="18" t="s">
        <v>104</v>
      </c>
      <c r="V6" s="15" t="s">
        <v>72</v>
      </c>
      <c r="W6" s="8"/>
      <c r="X6" s="16"/>
      <c r="Y6" s="8"/>
      <c r="Z6" s="8"/>
    </row>
    <row r="7">
      <c r="A7" s="22" t="s">
        <v>67</v>
      </c>
      <c r="B7" s="22" t="s">
        <v>226</v>
      </c>
      <c r="C7" s="22">
        <v>1372.0</v>
      </c>
      <c r="D7" s="22">
        <v>376.0</v>
      </c>
      <c r="E7" s="22" t="s">
        <v>230</v>
      </c>
      <c r="F7" s="22" t="s">
        <v>231</v>
      </c>
      <c r="G7" s="22">
        <v>710.0</v>
      </c>
      <c r="H7" s="22" t="s">
        <v>232</v>
      </c>
      <c r="I7" s="22" t="s">
        <v>136</v>
      </c>
      <c r="J7" s="22">
        <v>60.856858</v>
      </c>
      <c r="K7" s="22">
        <v>-162.276528</v>
      </c>
      <c r="L7" s="22" t="s">
        <v>75</v>
      </c>
      <c r="M7" s="22" t="s">
        <v>139</v>
      </c>
      <c r="N7" s="22">
        <v>60.856858</v>
      </c>
      <c r="O7" s="22">
        <v>-162.276528</v>
      </c>
      <c r="P7" s="23" t="s">
        <v>234</v>
      </c>
      <c r="Q7" s="25" t="str">
        <f t="shared" ref="Q7:Q13" si="3">HYPERLINK("https://www.google.com/maps?q=60.856858,-162.276528","map: current")</f>
        <v>map: current</v>
      </c>
      <c r="R7" s="25" t="str">
        <f>HYPERLINK("https://www.google.com/maps?q=60.856858,-162.276528","map: suggested")</f>
        <v>map: suggested</v>
      </c>
      <c r="S7" s="23" t="s">
        <v>239</v>
      </c>
      <c r="T7" s="23" t="s">
        <v>240</v>
      </c>
      <c r="U7" s="22" t="s">
        <v>155</v>
      </c>
      <c r="V7" s="8"/>
      <c r="W7" s="8"/>
      <c r="X7" s="11"/>
      <c r="Y7" s="8"/>
      <c r="Z7" s="8"/>
    </row>
    <row r="8">
      <c r="A8" s="22" t="s">
        <v>67</v>
      </c>
      <c r="B8" s="22" t="s">
        <v>244</v>
      </c>
      <c r="C8" s="22">
        <v>1373.0</v>
      </c>
      <c r="D8" s="22">
        <v>377.0</v>
      </c>
      <c r="E8" s="22" t="s">
        <v>245</v>
      </c>
      <c r="F8" s="22" t="s">
        <v>231</v>
      </c>
      <c r="G8" s="22">
        <v>710.0</v>
      </c>
      <c r="H8" s="22" t="s">
        <v>232</v>
      </c>
      <c r="I8" s="22" t="s">
        <v>136</v>
      </c>
      <c r="J8" s="22">
        <v>60.856858</v>
      </c>
      <c r="K8" s="22">
        <v>-162.276528</v>
      </c>
      <c r="L8" s="22" t="s">
        <v>246</v>
      </c>
      <c r="M8" s="22" t="s">
        <v>247</v>
      </c>
      <c r="N8" s="22">
        <v>60.15795</v>
      </c>
      <c r="O8" s="22">
        <v>-164.2801</v>
      </c>
      <c r="P8" s="23" t="s">
        <v>248</v>
      </c>
      <c r="Q8" s="25" t="str">
        <f t="shared" si="3"/>
        <v>map: current</v>
      </c>
      <c r="R8" s="25" t="str">
        <f>HYPERLINK("https://www.google.com/maps?q=60.15795,-164.2801","map: suggested")</f>
        <v>map: suggested</v>
      </c>
      <c r="S8" s="23" t="s">
        <v>257</v>
      </c>
      <c r="T8" s="23" t="s">
        <v>258</v>
      </c>
      <c r="U8" s="22" t="s">
        <v>176</v>
      </c>
      <c r="V8" s="8"/>
      <c r="W8" s="8"/>
      <c r="X8" s="11"/>
      <c r="Y8" s="8"/>
      <c r="Z8" s="8"/>
    </row>
    <row r="9">
      <c r="A9" s="22" t="s">
        <v>67</v>
      </c>
      <c r="B9" s="22" t="s">
        <v>262</v>
      </c>
      <c r="C9" s="22">
        <v>1584.0</v>
      </c>
      <c r="D9" s="22">
        <v>988.0</v>
      </c>
      <c r="E9" s="22" t="s">
        <v>264</v>
      </c>
      <c r="F9" s="22" t="s">
        <v>265</v>
      </c>
      <c r="G9" s="22">
        <v>710.0</v>
      </c>
      <c r="H9" s="22" t="s">
        <v>232</v>
      </c>
      <c r="I9" s="22" t="s">
        <v>136</v>
      </c>
      <c r="J9" s="22">
        <v>60.856858</v>
      </c>
      <c r="K9" s="22">
        <v>-162.276528</v>
      </c>
      <c r="L9" s="22" t="s">
        <v>75</v>
      </c>
      <c r="M9" s="22" t="s">
        <v>162</v>
      </c>
      <c r="N9" s="22">
        <v>59.93774</v>
      </c>
      <c r="O9" s="22">
        <v>-164.03998</v>
      </c>
      <c r="P9" s="23" t="s">
        <v>267</v>
      </c>
      <c r="Q9" s="25" t="str">
        <f t="shared" si="3"/>
        <v>map: current</v>
      </c>
      <c r="R9" s="25" t="str">
        <f>HYPERLINK("https://www.google.com/maps?q=59.93774,-164.03998","map: suggested")</f>
        <v>map: suggested</v>
      </c>
      <c r="S9" s="23" t="s">
        <v>257</v>
      </c>
      <c r="T9" s="23" t="s">
        <v>270</v>
      </c>
      <c r="U9" s="22" t="s">
        <v>104</v>
      </c>
      <c r="V9" s="8"/>
      <c r="W9" s="8"/>
      <c r="X9" s="11"/>
      <c r="Y9" s="8"/>
      <c r="Z9" s="8"/>
    </row>
    <row r="10">
      <c r="A10" s="22" t="s">
        <v>67</v>
      </c>
      <c r="B10" s="22" t="s">
        <v>272</v>
      </c>
      <c r="C10" s="22">
        <v>1676.0</v>
      </c>
      <c r="D10" s="22">
        <v>1224.0</v>
      </c>
      <c r="E10" s="22" t="s">
        <v>274</v>
      </c>
      <c r="F10" s="22" t="s">
        <v>130</v>
      </c>
      <c r="G10" s="22">
        <v>710.0</v>
      </c>
      <c r="H10" s="22" t="s">
        <v>232</v>
      </c>
      <c r="I10" s="22" t="s">
        <v>136</v>
      </c>
      <c r="J10" s="22">
        <v>60.856858</v>
      </c>
      <c r="K10" s="22">
        <v>-162.276528</v>
      </c>
      <c r="L10" s="22" t="s">
        <v>75</v>
      </c>
      <c r="M10" s="22" t="s">
        <v>162</v>
      </c>
      <c r="N10" s="22">
        <v>60.47936</v>
      </c>
      <c r="O10" s="22">
        <v>-164.72564</v>
      </c>
      <c r="P10" s="23" t="s">
        <v>267</v>
      </c>
      <c r="Q10" s="25" t="str">
        <f t="shared" si="3"/>
        <v>map: current</v>
      </c>
      <c r="R10" s="25" t="str">
        <f>HYPERLINK("https://www.google.com/maps?q=60.47936,-164.72564","map: suggested")</f>
        <v>map: suggested</v>
      </c>
      <c r="S10" s="23" t="s">
        <v>257</v>
      </c>
      <c r="T10" s="23" t="s">
        <v>280</v>
      </c>
      <c r="U10" s="22" t="s">
        <v>104</v>
      </c>
      <c r="V10" s="8"/>
      <c r="W10" s="8"/>
      <c r="X10" s="11"/>
      <c r="Y10" s="8"/>
      <c r="Z10" s="8"/>
    </row>
    <row r="11">
      <c r="A11" s="22" t="s">
        <v>67</v>
      </c>
      <c r="B11" s="22" t="s">
        <v>282</v>
      </c>
      <c r="C11" s="22">
        <v>1906.0</v>
      </c>
      <c r="D11" s="22">
        <v>1731.0</v>
      </c>
      <c r="E11" s="22" t="s">
        <v>284</v>
      </c>
      <c r="F11" s="22" t="s">
        <v>285</v>
      </c>
      <c r="G11" s="22">
        <v>710.0</v>
      </c>
      <c r="H11" s="22" t="s">
        <v>232</v>
      </c>
      <c r="I11" s="22" t="s">
        <v>136</v>
      </c>
      <c r="J11" s="22">
        <v>60.856858</v>
      </c>
      <c r="K11" s="22">
        <v>-162.276528</v>
      </c>
      <c r="L11" s="22" t="s">
        <v>75</v>
      </c>
      <c r="M11" s="22" t="s">
        <v>162</v>
      </c>
      <c r="N11" s="22">
        <v>60.34307</v>
      </c>
      <c r="O11" s="22">
        <v>-162.66696</v>
      </c>
      <c r="P11" s="23" t="s">
        <v>267</v>
      </c>
      <c r="Q11" s="25" t="str">
        <f t="shared" si="3"/>
        <v>map: current</v>
      </c>
      <c r="R11" s="25" t="str">
        <f>HYPERLINK("https://www.google.com/maps?q=60.34307,-162.66696","map: suggested")</f>
        <v>map: suggested</v>
      </c>
      <c r="S11" s="23" t="s">
        <v>257</v>
      </c>
      <c r="T11" s="23" t="s">
        <v>290</v>
      </c>
      <c r="U11" s="22" t="s">
        <v>104</v>
      </c>
      <c r="V11" s="8"/>
      <c r="W11" s="8"/>
      <c r="X11" s="11"/>
      <c r="Y11" s="8"/>
      <c r="Z11" s="8"/>
    </row>
    <row r="12">
      <c r="A12" s="22" t="s">
        <v>67</v>
      </c>
      <c r="B12" s="22" t="s">
        <v>294</v>
      </c>
      <c r="C12" s="22">
        <v>1907.0</v>
      </c>
      <c r="D12" s="22">
        <v>1733.0</v>
      </c>
      <c r="E12" s="22" t="s">
        <v>295</v>
      </c>
      <c r="F12" s="22" t="s">
        <v>296</v>
      </c>
      <c r="G12" s="22">
        <v>710.0</v>
      </c>
      <c r="H12" s="22" t="s">
        <v>232</v>
      </c>
      <c r="I12" s="22" t="s">
        <v>136</v>
      </c>
      <c r="J12" s="22">
        <v>60.856858</v>
      </c>
      <c r="K12" s="22">
        <v>-162.276528</v>
      </c>
      <c r="L12" s="22" t="s">
        <v>75</v>
      </c>
      <c r="M12" s="22" t="s">
        <v>162</v>
      </c>
      <c r="N12" s="22">
        <v>60.5861</v>
      </c>
      <c r="O12" s="22">
        <v>-165.25553</v>
      </c>
      <c r="P12" s="23" t="s">
        <v>267</v>
      </c>
      <c r="Q12" s="25" t="str">
        <f t="shared" si="3"/>
        <v>map: current</v>
      </c>
      <c r="R12" s="25" t="str">
        <f t="shared" ref="R12:R13" si="4">HYPERLINK("https://www.google.com/maps?q=60.5861,-165.25553","map: suggested")</f>
        <v>map: suggested</v>
      </c>
      <c r="S12" s="23" t="s">
        <v>257</v>
      </c>
      <c r="T12" s="23" t="s">
        <v>305</v>
      </c>
      <c r="U12" s="22" t="s">
        <v>104</v>
      </c>
      <c r="V12" s="8"/>
      <c r="W12" s="8"/>
      <c r="X12" s="11"/>
      <c r="Y12" s="8"/>
      <c r="Z12" s="8"/>
    </row>
    <row r="13">
      <c r="A13" s="22" t="s">
        <v>67</v>
      </c>
      <c r="B13" s="22" t="s">
        <v>307</v>
      </c>
      <c r="C13" s="22">
        <v>1910.0</v>
      </c>
      <c r="D13" s="22">
        <v>1736.0</v>
      </c>
      <c r="E13" s="22" t="s">
        <v>308</v>
      </c>
      <c r="F13" s="22" t="s">
        <v>296</v>
      </c>
      <c r="G13" s="22">
        <v>710.0</v>
      </c>
      <c r="H13" s="22" t="s">
        <v>232</v>
      </c>
      <c r="I13" s="22" t="s">
        <v>136</v>
      </c>
      <c r="J13" s="22">
        <v>60.856858</v>
      </c>
      <c r="K13" s="22">
        <v>-162.276528</v>
      </c>
      <c r="L13" s="22" t="s">
        <v>246</v>
      </c>
      <c r="M13" s="22" t="s">
        <v>247</v>
      </c>
      <c r="N13" s="22">
        <v>60.5861</v>
      </c>
      <c r="O13" s="22">
        <v>-165.25553</v>
      </c>
      <c r="P13" s="23" t="s">
        <v>248</v>
      </c>
      <c r="Q13" s="25" t="str">
        <f t="shared" si="3"/>
        <v>map: current</v>
      </c>
      <c r="R13" s="25" t="str">
        <f t="shared" si="4"/>
        <v>map: suggested</v>
      </c>
      <c r="S13" s="23" t="s">
        <v>257</v>
      </c>
      <c r="T13" s="23" t="s">
        <v>258</v>
      </c>
      <c r="U13" s="22" t="s">
        <v>176</v>
      </c>
      <c r="V13" s="8"/>
      <c r="W13" s="8"/>
      <c r="X13" s="11"/>
      <c r="Y13" s="8"/>
      <c r="Z13" s="8"/>
    </row>
    <row r="14">
      <c r="A14" s="29" t="s">
        <v>67</v>
      </c>
      <c r="B14" s="29" t="s">
        <v>324</v>
      </c>
      <c r="C14" s="29">
        <v>1630.0</v>
      </c>
      <c r="D14" s="29">
        <v>1119.0</v>
      </c>
      <c r="E14" s="29" t="s">
        <v>326</v>
      </c>
      <c r="F14" s="29" t="s">
        <v>328</v>
      </c>
      <c r="G14" s="29">
        <v>108.0</v>
      </c>
      <c r="H14" s="29" t="s">
        <v>206</v>
      </c>
      <c r="I14" s="29" t="s">
        <v>330</v>
      </c>
      <c r="J14" s="29">
        <v>61.580835</v>
      </c>
      <c r="K14" s="29">
        <v>-159.551052</v>
      </c>
      <c r="L14" s="29" t="s">
        <v>75</v>
      </c>
      <c r="M14" s="29" t="s">
        <v>162</v>
      </c>
      <c r="N14" s="29">
        <v>61.51296</v>
      </c>
      <c r="O14" s="29">
        <v>-160.36316</v>
      </c>
      <c r="P14" s="30" t="s">
        <v>331</v>
      </c>
      <c r="Q14" s="31" t="str">
        <f t="shared" ref="Q14:Q17" si="5">HYPERLINK("https://www.google.com/maps?q=61.580835,-159.551052","map: current")</f>
        <v>map: current</v>
      </c>
      <c r="R14" s="31" t="str">
        <f>HYPERLINK("https://www.google.com/maps?q=61.51296,-160.36316","map: suggested")</f>
        <v>map: suggested</v>
      </c>
      <c r="S14" s="30" t="s">
        <v>342</v>
      </c>
      <c r="T14" s="30" t="s">
        <v>344</v>
      </c>
      <c r="U14" s="29" t="s">
        <v>345</v>
      </c>
      <c r="V14" s="8"/>
      <c r="W14" s="8"/>
      <c r="X14" s="11"/>
      <c r="Y14" s="8"/>
      <c r="Z14" s="8"/>
    </row>
    <row r="15">
      <c r="A15" s="29" t="s">
        <v>67</v>
      </c>
      <c r="B15" s="29" t="s">
        <v>346</v>
      </c>
      <c r="C15" s="29">
        <v>1790.0</v>
      </c>
      <c r="D15" s="29">
        <v>1461.0</v>
      </c>
      <c r="E15" s="29" t="s">
        <v>348</v>
      </c>
      <c r="F15" s="29" t="s">
        <v>349</v>
      </c>
      <c r="G15" s="29">
        <v>108.0</v>
      </c>
      <c r="H15" s="29" t="s">
        <v>206</v>
      </c>
      <c r="I15" s="29" t="s">
        <v>330</v>
      </c>
      <c r="J15" s="29">
        <v>61.580835</v>
      </c>
      <c r="K15" s="29">
        <v>-159.551052</v>
      </c>
      <c r="L15" s="29" t="s">
        <v>75</v>
      </c>
      <c r="M15" s="29" t="s">
        <v>162</v>
      </c>
      <c r="N15" s="29">
        <v>61.7825</v>
      </c>
      <c r="O15" s="29">
        <v>-157.33684</v>
      </c>
      <c r="P15" s="30" t="s">
        <v>352</v>
      </c>
      <c r="Q15" s="31" t="str">
        <f t="shared" si="5"/>
        <v>map: current</v>
      </c>
      <c r="R15" s="31" t="str">
        <f>HYPERLINK("https://www.google.com/maps?q=61.7825,-157.33684","map: suggested")</f>
        <v>map: suggested</v>
      </c>
      <c r="S15" s="30" t="s">
        <v>342</v>
      </c>
      <c r="T15" s="30" t="s">
        <v>356</v>
      </c>
      <c r="U15" s="29" t="s">
        <v>357</v>
      </c>
      <c r="V15" s="8"/>
      <c r="W15" s="8"/>
      <c r="X15" s="11"/>
      <c r="Y15" s="8"/>
      <c r="Z15" s="8"/>
    </row>
    <row r="16">
      <c r="A16" s="29" t="s">
        <v>67</v>
      </c>
      <c r="B16" s="29" t="s">
        <v>360</v>
      </c>
      <c r="C16" s="29">
        <v>1923.0</v>
      </c>
      <c r="D16" s="29">
        <v>1771.0</v>
      </c>
      <c r="E16" s="29" t="s">
        <v>362</v>
      </c>
      <c r="F16" s="29" t="s">
        <v>363</v>
      </c>
      <c r="G16" s="29">
        <v>108.0</v>
      </c>
      <c r="H16" s="29" t="s">
        <v>206</v>
      </c>
      <c r="I16" s="29" t="s">
        <v>330</v>
      </c>
      <c r="J16" s="29">
        <v>61.580835</v>
      </c>
      <c r="K16" s="29">
        <v>-159.551052</v>
      </c>
      <c r="L16" s="29" t="s">
        <v>75</v>
      </c>
      <c r="M16" s="29" t="s">
        <v>162</v>
      </c>
      <c r="N16" s="29">
        <v>61.53861</v>
      </c>
      <c r="O16" s="29">
        <v>-160.3171</v>
      </c>
      <c r="P16" s="30" t="s">
        <v>364</v>
      </c>
      <c r="Q16" s="31" t="str">
        <f t="shared" si="5"/>
        <v>map: current</v>
      </c>
      <c r="R16" s="31" t="str">
        <f t="shared" ref="R16:R17" si="6">HYPERLINK("https://www.google.com/maps?q=61.53861,-160.3171","map: suggested")</f>
        <v>map: suggested</v>
      </c>
      <c r="S16" s="30" t="s">
        <v>342</v>
      </c>
      <c r="T16" s="30" t="s">
        <v>374</v>
      </c>
      <c r="U16" s="29" t="s">
        <v>375</v>
      </c>
      <c r="V16" s="8"/>
      <c r="W16" s="8"/>
      <c r="X16" s="11"/>
      <c r="Y16" s="8"/>
      <c r="Z16" s="8"/>
    </row>
    <row r="17">
      <c r="A17" s="29" t="s">
        <v>67</v>
      </c>
      <c r="B17" s="29" t="s">
        <v>377</v>
      </c>
      <c r="C17" s="29">
        <v>1924.0</v>
      </c>
      <c r="D17" s="29">
        <v>1772.0</v>
      </c>
      <c r="E17" s="29" t="s">
        <v>378</v>
      </c>
      <c r="F17" s="29" t="s">
        <v>363</v>
      </c>
      <c r="G17" s="29">
        <v>108.0</v>
      </c>
      <c r="H17" s="29" t="s">
        <v>206</v>
      </c>
      <c r="I17" s="29" t="s">
        <v>330</v>
      </c>
      <c r="J17" s="29">
        <v>61.580835</v>
      </c>
      <c r="K17" s="29">
        <v>-159.551052</v>
      </c>
      <c r="L17" s="29" t="s">
        <v>246</v>
      </c>
      <c r="M17" s="29" t="s">
        <v>247</v>
      </c>
      <c r="N17" s="29">
        <v>61.53861</v>
      </c>
      <c r="O17" s="29">
        <v>-160.3171</v>
      </c>
      <c r="P17" s="30" t="s">
        <v>248</v>
      </c>
      <c r="Q17" s="31" t="str">
        <f t="shared" si="5"/>
        <v>map: current</v>
      </c>
      <c r="R17" s="31" t="str">
        <f t="shared" si="6"/>
        <v>map: suggested</v>
      </c>
      <c r="S17" s="30" t="s">
        <v>342</v>
      </c>
      <c r="T17" s="30" t="s">
        <v>258</v>
      </c>
      <c r="U17" s="29" t="s">
        <v>176</v>
      </c>
      <c r="V17" s="8"/>
      <c r="W17" s="8"/>
      <c r="X17" s="11"/>
      <c r="Y17" s="8"/>
      <c r="Z17" s="8"/>
    </row>
    <row r="18">
      <c r="A18" s="29" t="s">
        <v>382</v>
      </c>
      <c r="B18" s="29" t="s">
        <v>330</v>
      </c>
      <c r="C18" s="29">
        <v>1310.0</v>
      </c>
      <c r="D18" s="29">
        <v>248.0</v>
      </c>
      <c r="E18" s="29" t="s">
        <v>383</v>
      </c>
      <c r="F18" s="29" t="s">
        <v>206</v>
      </c>
      <c r="G18" s="29">
        <v>108.0</v>
      </c>
      <c r="H18" s="29" t="s">
        <v>206</v>
      </c>
      <c r="I18" s="29" t="s">
        <v>330</v>
      </c>
      <c r="J18" s="29">
        <v>61.58083535</v>
      </c>
      <c r="K18" s="29">
        <v>-159.55105162</v>
      </c>
      <c r="L18" s="29" t="s">
        <v>75</v>
      </c>
      <c r="M18" s="29" t="s">
        <v>387</v>
      </c>
      <c r="N18" s="29"/>
      <c r="O18" s="29"/>
      <c r="P18" s="30" t="s">
        <v>389</v>
      </c>
      <c r="Q18" s="31" t="str">
        <f>HYPERLINK("https://www.google.com/maps?q=61.58083535,-159.55105162","map: current")</f>
        <v>map: current</v>
      </c>
      <c r="R18" s="29"/>
      <c r="S18" s="30" t="s">
        <v>391</v>
      </c>
      <c r="T18" s="30" t="s">
        <v>392</v>
      </c>
      <c r="U18" s="29" t="s">
        <v>176</v>
      </c>
      <c r="V18" s="8"/>
      <c r="W18" s="8"/>
      <c r="X18" s="11"/>
      <c r="Y18" s="8"/>
      <c r="Z18" s="8"/>
    </row>
    <row r="19">
      <c r="A19" s="33" t="s">
        <v>67</v>
      </c>
      <c r="B19" s="33" t="s">
        <v>396</v>
      </c>
      <c r="C19" s="33">
        <v>1942.0</v>
      </c>
      <c r="D19" s="33">
        <v>1827.0</v>
      </c>
      <c r="E19" s="33" t="s">
        <v>398</v>
      </c>
      <c r="F19" s="33" t="s">
        <v>400</v>
      </c>
      <c r="G19" s="33">
        <v>706.0</v>
      </c>
      <c r="H19" s="33" t="s">
        <v>332</v>
      </c>
      <c r="I19" s="33" t="s">
        <v>401</v>
      </c>
      <c r="J19" s="33">
        <v>63.515687</v>
      </c>
      <c r="K19" s="33">
        <v>-162.285557</v>
      </c>
      <c r="L19" s="33" t="s">
        <v>75</v>
      </c>
      <c r="M19" s="33" t="s">
        <v>162</v>
      </c>
      <c r="N19" s="33">
        <v>64.68227</v>
      </c>
      <c r="O19" s="33">
        <v>-163.41127</v>
      </c>
      <c r="P19" s="36" t="s">
        <v>405</v>
      </c>
      <c r="Q19" s="37" t="str">
        <f>HYPERLINK("https://www.google.com/maps?q=63.515687,-162.285557","map: current")</f>
        <v>map: current</v>
      </c>
      <c r="R19" s="37" t="str">
        <f>HYPERLINK("https://www.google.com/maps?q=64.68227,-163.41127","map: suggested")</f>
        <v>map: suggested</v>
      </c>
      <c r="S19" s="36" t="s">
        <v>425</v>
      </c>
      <c r="T19" s="36" t="s">
        <v>427</v>
      </c>
      <c r="U19" s="33" t="s">
        <v>104</v>
      </c>
      <c r="V19" s="8"/>
      <c r="W19" s="8"/>
      <c r="X19" s="11"/>
      <c r="Y19" s="8"/>
      <c r="Z19" s="8"/>
    </row>
    <row r="20">
      <c r="A20" s="33" t="s">
        <v>382</v>
      </c>
      <c r="B20" s="33" t="s">
        <v>401</v>
      </c>
      <c r="C20" s="33">
        <v>1857.0</v>
      </c>
      <c r="D20" s="33">
        <v>1641.0</v>
      </c>
      <c r="E20" s="33" t="s">
        <v>435</v>
      </c>
      <c r="F20" s="33" t="s">
        <v>332</v>
      </c>
      <c r="G20" s="33">
        <v>706.0</v>
      </c>
      <c r="H20" s="33" t="s">
        <v>332</v>
      </c>
      <c r="I20" s="33" t="s">
        <v>401</v>
      </c>
      <c r="J20" s="33">
        <v>63.51568716</v>
      </c>
      <c r="K20" s="33">
        <v>-162.2855574</v>
      </c>
      <c r="L20" s="33" t="s">
        <v>75</v>
      </c>
      <c r="M20" s="33" t="s">
        <v>387</v>
      </c>
      <c r="N20" s="33"/>
      <c r="O20" s="33"/>
      <c r="P20" s="36" t="s">
        <v>389</v>
      </c>
      <c r="Q20" s="37" t="str">
        <f>HYPERLINK("https://www.google.com/maps?q=63.51568716,-162.2855574","map: current")</f>
        <v>map: current</v>
      </c>
      <c r="R20" s="33"/>
      <c r="S20" s="36" t="s">
        <v>439</v>
      </c>
      <c r="T20" s="36" t="s">
        <v>440</v>
      </c>
      <c r="U20" s="33" t="s">
        <v>176</v>
      </c>
      <c r="V20" s="8"/>
      <c r="W20" s="8"/>
      <c r="X20" s="11"/>
      <c r="Y20" s="8"/>
      <c r="Z20" s="8"/>
    </row>
    <row r="21" ht="15.75" customHeight="1">
      <c r="A21" s="38" t="s">
        <v>67</v>
      </c>
      <c r="B21" s="38" t="s">
        <v>445</v>
      </c>
      <c r="C21" s="38">
        <v>1830.0</v>
      </c>
      <c r="D21" s="38">
        <v>1531.0</v>
      </c>
      <c r="E21" s="38" t="s">
        <v>446</v>
      </c>
      <c r="F21" s="38" t="s">
        <v>447</v>
      </c>
      <c r="G21" s="38">
        <v>565.0</v>
      </c>
      <c r="H21" s="38" t="s">
        <v>306</v>
      </c>
      <c r="I21" s="38" t="s">
        <v>449</v>
      </c>
      <c r="J21" s="38">
        <v>63.779113</v>
      </c>
      <c r="K21" s="38">
        <v>-171.734058</v>
      </c>
      <c r="L21" s="38" t="s">
        <v>75</v>
      </c>
      <c r="M21" s="38" t="s">
        <v>162</v>
      </c>
      <c r="N21" s="38">
        <v>63.69638</v>
      </c>
      <c r="O21" s="38">
        <v>-170.47821</v>
      </c>
      <c r="P21" s="39" t="s">
        <v>450</v>
      </c>
      <c r="Q21" s="40" t="str">
        <f>HYPERLINK("https://www.google.com/maps?q=63.779113,-171.734058","map: current")</f>
        <v>map: current</v>
      </c>
      <c r="R21" s="40" t="str">
        <f>HYPERLINK("https://www.google.com/maps?q=63.69638,-170.47821","map: suggested")</f>
        <v>map: suggested</v>
      </c>
      <c r="S21" s="39" t="s">
        <v>456</v>
      </c>
      <c r="T21" s="39" t="s">
        <v>457</v>
      </c>
      <c r="U21" s="38" t="s">
        <v>104</v>
      </c>
      <c r="V21" s="8"/>
      <c r="W21" s="8"/>
      <c r="X21" s="11"/>
      <c r="Y21" s="8"/>
      <c r="Z21" s="8"/>
    </row>
    <row r="22" ht="15.75" customHeight="1">
      <c r="A22" s="38" t="s">
        <v>382</v>
      </c>
      <c r="B22" s="38" t="s">
        <v>449</v>
      </c>
      <c r="C22" s="38">
        <v>1476.0</v>
      </c>
      <c r="D22" s="38">
        <v>692.0</v>
      </c>
      <c r="E22" s="38" t="s">
        <v>459</v>
      </c>
      <c r="F22" s="38" t="s">
        <v>306</v>
      </c>
      <c r="G22" s="38">
        <v>565.0</v>
      </c>
      <c r="H22" s="38" t="s">
        <v>306</v>
      </c>
      <c r="I22" s="38" t="s">
        <v>449</v>
      </c>
      <c r="J22" s="38">
        <v>63.77911319</v>
      </c>
      <c r="K22" s="38">
        <v>-171.73405841</v>
      </c>
      <c r="L22" s="38" t="s">
        <v>75</v>
      </c>
      <c r="M22" s="38" t="s">
        <v>387</v>
      </c>
      <c r="N22" s="38"/>
      <c r="O22" s="38"/>
      <c r="P22" s="39" t="s">
        <v>389</v>
      </c>
      <c r="Q22" s="40" t="str">
        <f>HYPERLINK("https://www.google.com/maps?q=63.77911319,-171.73405841","map: current")</f>
        <v>map: current</v>
      </c>
      <c r="R22" s="38"/>
      <c r="S22" s="39" t="s">
        <v>465</v>
      </c>
      <c r="T22" s="39" t="s">
        <v>466</v>
      </c>
      <c r="U22" s="38" t="s">
        <v>176</v>
      </c>
      <c r="V22" s="8"/>
      <c r="W22" s="8"/>
      <c r="X22" s="11"/>
      <c r="Y22" s="8"/>
      <c r="Z22" s="8"/>
    </row>
    <row r="23" ht="15.75" customHeight="1">
      <c r="A23" s="41" t="s">
        <v>382</v>
      </c>
      <c r="B23" s="41" t="s">
        <v>468</v>
      </c>
      <c r="C23" s="41">
        <v>1466.0</v>
      </c>
      <c r="D23" s="41">
        <v>679.0</v>
      </c>
      <c r="E23" s="41" t="s">
        <v>470</v>
      </c>
      <c r="F23" s="41" t="s">
        <v>235</v>
      </c>
      <c r="G23" s="41">
        <v>171.0</v>
      </c>
      <c r="H23" s="41" t="s">
        <v>235</v>
      </c>
      <c r="I23" s="41" t="s">
        <v>471</v>
      </c>
      <c r="J23" s="41">
        <v>64.73391882</v>
      </c>
      <c r="K23" s="41">
        <v>-156.91880943</v>
      </c>
      <c r="L23" s="41" t="s">
        <v>75</v>
      </c>
      <c r="M23" s="41" t="s">
        <v>387</v>
      </c>
      <c r="N23" s="41"/>
      <c r="O23" s="41"/>
      <c r="P23" s="42" t="s">
        <v>389</v>
      </c>
      <c r="Q23" s="43" t="str">
        <f t="shared" ref="Q23:Q24" si="7">HYPERLINK("https://www.google.com/maps?q=64.73391882,-156.91880943","map: current")</f>
        <v>map: current</v>
      </c>
      <c r="R23" s="41"/>
      <c r="S23" s="42" t="s">
        <v>475</v>
      </c>
      <c r="T23" s="42" t="s">
        <v>476</v>
      </c>
      <c r="U23" s="41" t="s">
        <v>176</v>
      </c>
      <c r="V23" s="8"/>
      <c r="W23" s="8"/>
      <c r="X23" s="11"/>
      <c r="Y23" s="8"/>
      <c r="Z23" s="8"/>
    </row>
    <row r="24" ht="15.75" customHeight="1">
      <c r="A24" s="41" t="s">
        <v>382</v>
      </c>
      <c r="B24" s="41" t="s">
        <v>478</v>
      </c>
      <c r="C24" s="41">
        <v>1472.0</v>
      </c>
      <c r="D24" s="41">
        <v>685.0</v>
      </c>
      <c r="E24" s="41" t="s">
        <v>479</v>
      </c>
      <c r="F24" s="41" t="s">
        <v>235</v>
      </c>
      <c r="G24" s="41">
        <v>171.0</v>
      </c>
      <c r="H24" s="41" t="s">
        <v>235</v>
      </c>
      <c r="I24" s="41" t="s">
        <v>471</v>
      </c>
      <c r="J24" s="41">
        <v>64.73391882</v>
      </c>
      <c r="K24" s="41">
        <v>-156.91880943</v>
      </c>
      <c r="L24" s="41" t="s">
        <v>246</v>
      </c>
      <c r="M24" s="41" t="s">
        <v>247</v>
      </c>
      <c r="N24" s="41"/>
      <c r="O24" s="41"/>
      <c r="P24" s="42" t="s">
        <v>480</v>
      </c>
      <c r="Q24" s="43" t="str">
        <f t="shared" si="7"/>
        <v>map: current</v>
      </c>
      <c r="R24" s="41"/>
      <c r="S24" s="42" t="s">
        <v>475</v>
      </c>
      <c r="T24" s="42" t="s">
        <v>258</v>
      </c>
      <c r="U24" s="41" t="s">
        <v>176</v>
      </c>
      <c r="V24" s="8"/>
      <c r="W24" s="8"/>
      <c r="X24" s="11"/>
      <c r="Y24" s="8"/>
      <c r="Z24" s="8"/>
    </row>
    <row r="25" ht="15.75" customHeight="1">
      <c r="A25" s="41" t="s">
        <v>67</v>
      </c>
      <c r="B25" s="41" t="s">
        <v>483</v>
      </c>
      <c r="C25" s="41">
        <v>1504.0</v>
      </c>
      <c r="D25" s="41">
        <v>786.0</v>
      </c>
      <c r="E25" s="41" t="s">
        <v>484</v>
      </c>
      <c r="F25" s="41" t="s">
        <v>485</v>
      </c>
      <c r="G25" s="41">
        <v>171.0</v>
      </c>
      <c r="H25" s="41" t="s">
        <v>235</v>
      </c>
      <c r="I25" s="41" t="s">
        <v>471</v>
      </c>
      <c r="J25" s="41">
        <v>64.733919</v>
      </c>
      <c r="K25" s="41">
        <v>-156.918809</v>
      </c>
      <c r="L25" s="41" t="s">
        <v>487</v>
      </c>
      <c r="M25" s="41" t="s">
        <v>488</v>
      </c>
      <c r="N25" s="41">
        <v>61.52991</v>
      </c>
      <c r="O25" s="41">
        <v>-166.1037</v>
      </c>
      <c r="P25" s="42" t="s">
        <v>489</v>
      </c>
      <c r="Q25" s="43" t="str">
        <f>HYPERLINK("https://www.google.com/maps?q=64.733919,-156.918809","map: current")</f>
        <v>map: current</v>
      </c>
      <c r="R25" s="43" t="str">
        <f>HYPERLINK("https://www.google.com/maps?q=61.52991,-166.1037","map: suggested")</f>
        <v>map: suggested</v>
      </c>
      <c r="S25" s="42" t="s">
        <v>493</v>
      </c>
      <c r="T25" s="42" t="s">
        <v>494</v>
      </c>
      <c r="U25" s="41" t="s">
        <v>85</v>
      </c>
      <c r="V25" s="8"/>
      <c r="W25" s="8"/>
      <c r="X25" s="11"/>
      <c r="Y25" s="8"/>
      <c r="Z25" s="8"/>
    </row>
    <row r="26" ht="15.75" customHeight="1">
      <c r="A26" s="22" t="s">
        <v>382</v>
      </c>
      <c r="B26" s="22" t="s">
        <v>497</v>
      </c>
      <c r="C26" s="22">
        <v>1615.0</v>
      </c>
      <c r="D26" s="22">
        <v>1082.0</v>
      </c>
      <c r="E26" s="22" t="s">
        <v>498</v>
      </c>
      <c r="F26" s="22" t="s">
        <v>250</v>
      </c>
      <c r="G26" s="22">
        <v>219.0</v>
      </c>
      <c r="H26" s="22" t="s">
        <v>250</v>
      </c>
      <c r="I26" s="22" t="s">
        <v>497</v>
      </c>
      <c r="J26" s="22">
        <v>64.87964972</v>
      </c>
      <c r="K26" s="22">
        <v>-157.71866756</v>
      </c>
      <c r="L26" s="22" t="s">
        <v>75</v>
      </c>
      <c r="M26" s="22" t="s">
        <v>387</v>
      </c>
      <c r="N26" s="22"/>
      <c r="O26" s="22"/>
      <c r="P26" s="23" t="s">
        <v>389</v>
      </c>
      <c r="Q26" s="25" t="str">
        <f>HYPERLINK("https://www.google.com/maps?q=64.87964972,-157.71866756","map: current")</f>
        <v>map: current</v>
      </c>
      <c r="R26" s="22"/>
      <c r="S26" s="23" t="s">
        <v>506</v>
      </c>
      <c r="T26" s="23" t="s">
        <v>507</v>
      </c>
      <c r="U26" s="22" t="s">
        <v>176</v>
      </c>
      <c r="V26" s="8"/>
      <c r="W26" s="8"/>
      <c r="X26" s="11"/>
      <c r="Y26" s="8"/>
      <c r="Z26" s="8"/>
    </row>
    <row r="27" ht="15.75" customHeight="1">
      <c r="A27" s="22" t="s">
        <v>67</v>
      </c>
      <c r="B27" s="22" t="s">
        <v>509</v>
      </c>
      <c r="C27" s="22">
        <v>1563.0</v>
      </c>
      <c r="D27" s="22">
        <v>903.0</v>
      </c>
      <c r="E27" s="22" t="s">
        <v>510</v>
      </c>
      <c r="F27" s="22" t="s">
        <v>511</v>
      </c>
      <c r="G27" s="22">
        <v>219.0</v>
      </c>
      <c r="H27" s="22" t="s">
        <v>250</v>
      </c>
      <c r="I27" s="22" t="s">
        <v>497</v>
      </c>
      <c r="J27" s="22">
        <v>64.87965</v>
      </c>
      <c r="K27" s="22">
        <v>-157.718668</v>
      </c>
      <c r="L27" s="22" t="s">
        <v>75</v>
      </c>
      <c r="M27" s="22" t="s">
        <v>162</v>
      </c>
      <c r="N27" s="22">
        <v>64.32472</v>
      </c>
      <c r="O27" s="22">
        <v>-158.72837</v>
      </c>
      <c r="P27" s="23" t="s">
        <v>513</v>
      </c>
      <c r="Q27" s="25" t="str">
        <f>HYPERLINK("https://www.google.com/maps?q=64.87965,-157.718668","map: current")</f>
        <v>map: current</v>
      </c>
      <c r="R27" s="25" t="str">
        <f>HYPERLINK("https://www.google.com/maps?q=64.32472,-158.72837","map: suggested")</f>
        <v>map: suggested</v>
      </c>
      <c r="S27" s="23" t="s">
        <v>517</v>
      </c>
      <c r="T27" s="23" t="s">
        <v>518</v>
      </c>
      <c r="U27" s="22" t="s">
        <v>104</v>
      </c>
      <c r="V27" s="8"/>
      <c r="W27" s="8"/>
      <c r="X27" s="11"/>
      <c r="Y27" s="8"/>
      <c r="Z27" s="8"/>
    </row>
    <row r="28" ht="15.75" customHeight="1">
      <c r="A28" s="44" t="s">
        <v>382</v>
      </c>
      <c r="B28" s="44" t="s">
        <v>520</v>
      </c>
      <c r="C28" s="44">
        <v>1361.0</v>
      </c>
      <c r="D28" s="44">
        <v>344.0</v>
      </c>
      <c r="E28" s="44" t="s">
        <v>521</v>
      </c>
      <c r="F28" s="44" t="s">
        <v>259</v>
      </c>
      <c r="G28" s="44">
        <v>377.0</v>
      </c>
      <c r="H28" s="44" t="s">
        <v>259</v>
      </c>
      <c r="I28" s="44" t="s">
        <v>520</v>
      </c>
      <c r="J28" s="44">
        <v>65.33271165</v>
      </c>
      <c r="K28" s="44">
        <v>-166.49422415</v>
      </c>
      <c r="L28" s="44" t="s">
        <v>75</v>
      </c>
      <c r="M28" s="44" t="s">
        <v>387</v>
      </c>
      <c r="N28" s="44"/>
      <c r="O28" s="44"/>
      <c r="P28" s="45" t="s">
        <v>389</v>
      </c>
      <c r="Q28" s="46" t="str">
        <f>HYPERLINK("https://www.google.com/maps?q=65.33271165,-166.49422415","map: current")</f>
        <v>map: current</v>
      </c>
      <c r="R28" s="44"/>
      <c r="S28" s="45" t="s">
        <v>525</v>
      </c>
      <c r="T28" s="45" t="s">
        <v>526</v>
      </c>
      <c r="U28" s="44" t="s">
        <v>176</v>
      </c>
      <c r="V28" s="8"/>
      <c r="W28" s="8"/>
      <c r="X28" s="11"/>
      <c r="Y28" s="8"/>
      <c r="Z28" s="8"/>
    </row>
    <row r="29" ht="15.75" customHeight="1">
      <c r="A29" s="44" t="s">
        <v>67</v>
      </c>
      <c r="B29" s="44" t="s">
        <v>529</v>
      </c>
      <c r="C29" s="44">
        <v>1385.0</v>
      </c>
      <c r="D29" s="44">
        <v>395.0</v>
      </c>
      <c r="E29" s="44" t="s">
        <v>530</v>
      </c>
      <c r="F29" s="44" t="s">
        <v>531</v>
      </c>
      <c r="G29" s="44">
        <v>377.0</v>
      </c>
      <c r="H29" s="44" t="s">
        <v>259</v>
      </c>
      <c r="I29" s="44" t="s">
        <v>520</v>
      </c>
      <c r="J29" s="44">
        <v>65.332712</v>
      </c>
      <c r="K29" s="44">
        <v>-166.494224</v>
      </c>
      <c r="L29" s="44" t="s">
        <v>75</v>
      </c>
      <c r="M29" s="44" t="s">
        <v>162</v>
      </c>
      <c r="N29" s="44">
        <v>61.52809</v>
      </c>
      <c r="O29" s="44">
        <v>-165.5862</v>
      </c>
      <c r="P29" s="45" t="s">
        <v>533</v>
      </c>
      <c r="Q29" s="46" t="str">
        <f t="shared" ref="Q29:Q33" si="8">HYPERLINK("https://www.google.com/maps?q=65.332712,-166.494224","map: current")</f>
        <v>map: current</v>
      </c>
      <c r="R29" s="46" t="str">
        <f>HYPERLINK("https://www.google.com/maps?q=61.52809,-165.5862","map: suggested")</f>
        <v>map: suggested</v>
      </c>
      <c r="S29" s="45" t="s">
        <v>539</v>
      </c>
      <c r="T29" s="45" t="s">
        <v>540</v>
      </c>
      <c r="U29" s="44" t="s">
        <v>104</v>
      </c>
      <c r="V29" s="8"/>
      <c r="W29" s="8"/>
      <c r="X29" s="11"/>
      <c r="Y29" s="8"/>
      <c r="Z29" s="8"/>
    </row>
    <row r="30" ht="15.75" customHeight="1">
      <c r="A30" s="44" t="s">
        <v>67</v>
      </c>
      <c r="B30" s="44" t="s">
        <v>542</v>
      </c>
      <c r="C30" s="44">
        <v>1678.0</v>
      </c>
      <c r="D30" s="44">
        <v>1226.0</v>
      </c>
      <c r="E30" s="44" t="s">
        <v>545</v>
      </c>
      <c r="F30" s="44" t="s">
        <v>130</v>
      </c>
      <c r="G30" s="44">
        <v>377.0</v>
      </c>
      <c r="H30" s="44" t="s">
        <v>259</v>
      </c>
      <c r="I30" s="44" t="s">
        <v>520</v>
      </c>
      <c r="J30" s="44">
        <v>65.332712</v>
      </c>
      <c r="K30" s="44">
        <v>-166.494224</v>
      </c>
      <c r="L30" s="44" t="s">
        <v>75</v>
      </c>
      <c r="M30" s="44" t="s">
        <v>162</v>
      </c>
      <c r="N30" s="44">
        <v>60.47936</v>
      </c>
      <c r="O30" s="44">
        <v>-164.72564</v>
      </c>
      <c r="P30" s="45" t="s">
        <v>546</v>
      </c>
      <c r="Q30" s="46" t="str">
        <f t="shared" si="8"/>
        <v>map: current</v>
      </c>
      <c r="R30" s="46" t="str">
        <f>HYPERLINK("https://www.google.com/maps?q=60.47936,-164.72564","map: suggested")</f>
        <v>map: suggested</v>
      </c>
      <c r="S30" s="45" t="s">
        <v>539</v>
      </c>
      <c r="T30" s="45" t="s">
        <v>550</v>
      </c>
      <c r="U30" s="44" t="s">
        <v>104</v>
      </c>
      <c r="V30" s="8"/>
      <c r="W30" s="8"/>
      <c r="X30" s="11"/>
      <c r="Y30" s="8"/>
      <c r="Z30" s="8"/>
    </row>
    <row r="31" ht="15.75" customHeight="1">
      <c r="A31" s="44" t="s">
        <v>67</v>
      </c>
      <c r="B31" s="44" t="s">
        <v>552</v>
      </c>
      <c r="C31" s="44">
        <v>1855.0</v>
      </c>
      <c r="D31" s="44">
        <v>1639.0</v>
      </c>
      <c r="E31" s="44" t="s">
        <v>553</v>
      </c>
      <c r="F31" s="44" t="s">
        <v>332</v>
      </c>
      <c r="G31" s="44">
        <v>377.0</v>
      </c>
      <c r="H31" s="44" t="s">
        <v>259</v>
      </c>
      <c r="I31" s="44" t="s">
        <v>520</v>
      </c>
      <c r="J31" s="44">
        <v>65.332712</v>
      </c>
      <c r="K31" s="44">
        <v>-166.494224</v>
      </c>
      <c r="L31" s="44" t="s">
        <v>75</v>
      </c>
      <c r="M31" s="44" t="s">
        <v>162</v>
      </c>
      <c r="N31" s="44">
        <v>63.51629</v>
      </c>
      <c r="O31" s="44">
        <v>-162.28651</v>
      </c>
      <c r="P31" s="45" t="s">
        <v>556</v>
      </c>
      <c r="Q31" s="46" t="str">
        <f t="shared" si="8"/>
        <v>map: current</v>
      </c>
      <c r="R31" s="46" t="str">
        <f>HYPERLINK("https://www.google.com/maps?q=63.51629,-162.28651","map: suggested")</f>
        <v>map: suggested</v>
      </c>
      <c r="S31" s="45" t="s">
        <v>539</v>
      </c>
      <c r="T31" s="45" t="s">
        <v>559</v>
      </c>
      <c r="U31" s="44" t="s">
        <v>104</v>
      </c>
      <c r="V31" s="8"/>
      <c r="W31" s="8"/>
      <c r="X31" s="11"/>
      <c r="Y31" s="8"/>
      <c r="Z31" s="8"/>
    </row>
    <row r="32" ht="15.75" customHeight="1">
      <c r="A32" s="44" t="s">
        <v>67</v>
      </c>
      <c r="B32" s="44" t="s">
        <v>561</v>
      </c>
      <c r="C32" s="44">
        <v>1897.0</v>
      </c>
      <c r="D32" s="44">
        <v>1717.0</v>
      </c>
      <c r="E32" s="44" t="s">
        <v>562</v>
      </c>
      <c r="F32" s="44" t="s">
        <v>210</v>
      </c>
      <c r="G32" s="44">
        <v>377.0</v>
      </c>
      <c r="H32" s="44" t="s">
        <v>259</v>
      </c>
      <c r="I32" s="44" t="s">
        <v>520</v>
      </c>
      <c r="J32" s="44">
        <v>65.332712</v>
      </c>
      <c r="K32" s="44">
        <v>-166.494224</v>
      </c>
      <c r="L32" s="44" t="s">
        <v>75</v>
      </c>
      <c r="M32" s="44" t="s">
        <v>162</v>
      </c>
      <c r="N32" s="44">
        <v>60.52933</v>
      </c>
      <c r="O32" s="44">
        <v>-165.1067</v>
      </c>
      <c r="P32" s="45" t="s">
        <v>564</v>
      </c>
      <c r="Q32" s="46" t="str">
        <f t="shared" si="8"/>
        <v>map: current</v>
      </c>
      <c r="R32" s="46" t="str">
        <f>HYPERLINK("https://www.google.com/maps?q=60.52933,-165.1067","map: suggested")</f>
        <v>map: suggested</v>
      </c>
      <c r="S32" s="45" t="s">
        <v>539</v>
      </c>
      <c r="T32" s="45" t="s">
        <v>569</v>
      </c>
      <c r="U32" s="44" t="s">
        <v>104</v>
      </c>
      <c r="V32" s="8"/>
      <c r="W32" s="8"/>
      <c r="X32" s="11"/>
      <c r="Y32" s="8"/>
      <c r="Z32" s="8"/>
    </row>
    <row r="33" ht="15.75" customHeight="1">
      <c r="A33" s="44" t="s">
        <v>67</v>
      </c>
      <c r="B33" s="44" t="s">
        <v>570</v>
      </c>
      <c r="C33" s="44">
        <v>1913.0</v>
      </c>
      <c r="D33" s="44">
        <v>1739.0</v>
      </c>
      <c r="E33" s="44" t="s">
        <v>571</v>
      </c>
      <c r="F33" s="44" t="s">
        <v>296</v>
      </c>
      <c r="G33" s="44">
        <v>377.0</v>
      </c>
      <c r="H33" s="44" t="s">
        <v>259</v>
      </c>
      <c r="I33" s="44" t="s">
        <v>520</v>
      </c>
      <c r="J33" s="44">
        <v>65.332712</v>
      </c>
      <c r="K33" s="44">
        <v>-166.494224</v>
      </c>
      <c r="L33" s="44" t="s">
        <v>75</v>
      </c>
      <c r="M33" s="44" t="s">
        <v>162</v>
      </c>
      <c r="N33" s="44">
        <v>60.5861</v>
      </c>
      <c r="O33" s="44">
        <v>-165.25553</v>
      </c>
      <c r="P33" s="45" t="s">
        <v>574</v>
      </c>
      <c r="Q33" s="46" t="str">
        <f t="shared" si="8"/>
        <v>map: current</v>
      </c>
      <c r="R33" s="46" t="str">
        <f>HYPERLINK("https://www.google.com/maps?q=60.5861,-165.25553","map: suggested")</f>
        <v>map: suggested</v>
      </c>
      <c r="S33" s="45" t="s">
        <v>539</v>
      </c>
      <c r="T33" s="45" t="s">
        <v>576</v>
      </c>
      <c r="U33" s="44" t="s">
        <v>104</v>
      </c>
      <c r="V33" s="8"/>
      <c r="W33" s="8"/>
      <c r="X33" s="11"/>
      <c r="Y33" s="8"/>
      <c r="Z33" s="8"/>
    </row>
    <row r="34" ht="15.75" customHeight="1">
      <c r="A34" s="44" t="s">
        <v>67</v>
      </c>
      <c r="B34" s="44" t="s">
        <v>579</v>
      </c>
      <c r="C34" s="44">
        <v>1811.0</v>
      </c>
      <c r="D34" s="44">
        <v>1499.0</v>
      </c>
      <c r="E34" s="44" t="s">
        <v>580</v>
      </c>
      <c r="F34" s="44" t="s">
        <v>581</v>
      </c>
      <c r="G34" s="44">
        <v>694.0</v>
      </c>
      <c r="H34" s="44" t="s">
        <v>259</v>
      </c>
      <c r="I34" s="44" t="s">
        <v>136</v>
      </c>
      <c r="J34" s="44">
        <v>65.332895</v>
      </c>
      <c r="K34" s="44">
        <v>-166.486424</v>
      </c>
      <c r="L34" s="44" t="s">
        <v>75</v>
      </c>
      <c r="M34" s="44" t="s">
        <v>139</v>
      </c>
      <c r="N34" s="44">
        <v>65.332895</v>
      </c>
      <c r="O34" s="44">
        <v>-166.486424</v>
      </c>
      <c r="P34" s="45" t="s">
        <v>583</v>
      </c>
      <c r="Q34" s="46" t="str">
        <f t="shared" ref="Q34:Q36" si="9">HYPERLINK("https://www.google.com/maps?q=65.332895,-166.486424","map: current")</f>
        <v>map: current</v>
      </c>
      <c r="R34" s="46" t="str">
        <f>HYPERLINK("https://www.google.com/maps?q=65.332895,-166.486424","map: suggested")</f>
        <v>map: suggested</v>
      </c>
      <c r="S34" s="45" t="s">
        <v>587</v>
      </c>
      <c r="T34" s="45" t="s">
        <v>588</v>
      </c>
      <c r="U34" s="44" t="s">
        <v>155</v>
      </c>
      <c r="V34" s="8"/>
      <c r="W34" s="8"/>
      <c r="X34" s="11"/>
      <c r="Y34" s="8"/>
      <c r="Z34" s="8"/>
    </row>
    <row r="35" ht="15.75" customHeight="1">
      <c r="A35" s="44" t="s">
        <v>67</v>
      </c>
      <c r="B35" s="44" t="s">
        <v>589</v>
      </c>
      <c r="C35" s="44">
        <v>1812.0</v>
      </c>
      <c r="D35" s="44">
        <v>1500.0</v>
      </c>
      <c r="E35" s="44" t="s">
        <v>590</v>
      </c>
      <c r="F35" s="44" t="s">
        <v>581</v>
      </c>
      <c r="G35" s="44">
        <v>694.0</v>
      </c>
      <c r="H35" s="44" t="s">
        <v>259</v>
      </c>
      <c r="I35" s="44" t="s">
        <v>136</v>
      </c>
      <c r="J35" s="44">
        <v>65.332895</v>
      </c>
      <c r="K35" s="44">
        <v>-166.486424</v>
      </c>
      <c r="L35" s="44" t="s">
        <v>246</v>
      </c>
      <c r="M35" s="44" t="s">
        <v>247</v>
      </c>
      <c r="N35" s="44">
        <v>63.47803</v>
      </c>
      <c r="O35" s="44">
        <v>-162.03825</v>
      </c>
      <c r="P35" s="45" t="s">
        <v>248</v>
      </c>
      <c r="Q35" s="46" t="str">
        <f t="shared" si="9"/>
        <v>map: current</v>
      </c>
      <c r="R35" s="46" t="str">
        <f>HYPERLINK("https://www.google.com/maps?q=63.47803,-162.03825","map: suggested")</f>
        <v>map: suggested</v>
      </c>
      <c r="S35" s="45" t="s">
        <v>591</v>
      </c>
      <c r="T35" s="45" t="s">
        <v>258</v>
      </c>
      <c r="U35" s="44" t="s">
        <v>176</v>
      </c>
      <c r="V35" s="8"/>
      <c r="W35" s="8"/>
      <c r="X35" s="11"/>
      <c r="Y35" s="8"/>
      <c r="Z35" s="8"/>
    </row>
    <row r="36" ht="15.75" customHeight="1">
      <c r="A36" s="44" t="s">
        <v>67</v>
      </c>
      <c r="B36" s="44" t="s">
        <v>592</v>
      </c>
      <c r="C36" s="44">
        <v>1826.0</v>
      </c>
      <c r="D36" s="44">
        <v>1527.0</v>
      </c>
      <c r="E36" s="44" t="s">
        <v>593</v>
      </c>
      <c r="F36" s="44" t="s">
        <v>447</v>
      </c>
      <c r="G36" s="44">
        <v>694.0</v>
      </c>
      <c r="H36" s="44" t="s">
        <v>259</v>
      </c>
      <c r="I36" s="44" t="s">
        <v>136</v>
      </c>
      <c r="J36" s="44">
        <v>65.332895</v>
      </c>
      <c r="K36" s="44">
        <v>-166.486424</v>
      </c>
      <c r="L36" s="44" t="s">
        <v>75</v>
      </c>
      <c r="M36" s="44" t="s">
        <v>162</v>
      </c>
      <c r="N36" s="44">
        <v>63.69638</v>
      </c>
      <c r="O36" s="44">
        <v>-170.47821</v>
      </c>
      <c r="P36" s="45" t="s">
        <v>594</v>
      </c>
      <c r="Q36" s="46" t="str">
        <f t="shared" si="9"/>
        <v>map: current</v>
      </c>
      <c r="R36" s="46" t="str">
        <f>HYPERLINK("https://www.google.com/maps?q=63.69638,-170.47821","map: suggested")</f>
        <v>map: suggested</v>
      </c>
      <c r="S36" s="45" t="s">
        <v>591</v>
      </c>
      <c r="T36" s="45" t="s">
        <v>595</v>
      </c>
      <c r="U36" s="44" t="s">
        <v>104</v>
      </c>
      <c r="V36" s="8"/>
      <c r="W36" s="8"/>
      <c r="X36" s="11"/>
      <c r="Y36" s="8"/>
      <c r="Z36" s="8"/>
    </row>
    <row r="37" ht="15.75" customHeight="1">
      <c r="A37" s="47" t="s">
        <v>382</v>
      </c>
      <c r="B37" s="47" t="s">
        <v>596</v>
      </c>
      <c r="C37" s="47">
        <v>1364.0</v>
      </c>
      <c r="D37" s="47">
        <v>353.0</v>
      </c>
      <c r="E37" s="47" t="s">
        <v>597</v>
      </c>
      <c r="F37" s="47" t="s">
        <v>275</v>
      </c>
      <c r="G37" s="47">
        <v>385.0</v>
      </c>
      <c r="H37" s="47" t="s">
        <v>275</v>
      </c>
      <c r="I37" s="47" t="s">
        <v>596</v>
      </c>
      <c r="J37" s="47">
        <v>65.97994995</v>
      </c>
      <c r="K37" s="47">
        <v>-161.13175297</v>
      </c>
      <c r="L37" s="47" t="s">
        <v>75</v>
      </c>
      <c r="M37" s="47" t="s">
        <v>387</v>
      </c>
      <c r="N37" s="47"/>
      <c r="O37" s="47"/>
      <c r="P37" s="48" t="s">
        <v>389</v>
      </c>
      <c r="Q37" s="49" t="str">
        <f>HYPERLINK("https://www.google.com/maps?q=65.97994995,-161.13175297","map: current")</f>
        <v>map: current</v>
      </c>
      <c r="R37" s="47"/>
      <c r="S37" s="48" t="s">
        <v>598</v>
      </c>
      <c r="T37" s="48" t="s">
        <v>599</v>
      </c>
      <c r="U37" s="47" t="s">
        <v>176</v>
      </c>
      <c r="V37" s="8"/>
      <c r="W37" s="8"/>
      <c r="X37" s="11"/>
      <c r="Y37" s="8"/>
      <c r="Z37" s="8"/>
    </row>
    <row r="38" ht="15.75" customHeight="1">
      <c r="A38" s="47" t="s">
        <v>67</v>
      </c>
      <c r="B38" s="47" t="s">
        <v>600</v>
      </c>
      <c r="C38" s="47">
        <v>1375.0</v>
      </c>
      <c r="D38" s="47">
        <v>379.0</v>
      </c>
      <c r="E38" s="47" t="s">
        <v>601</v>
      </c>
      <c r="F38" s="47" t="s">
        <v>231</v>
      </c>
      <c r="G38" s="47">
        <v>385.0</v>
      </c>
      <c r="H38" s="47" t="s">
        <v>275</v>
      </c>
      <c r="I38" s="47" t="s">
        <v>596</v>
      </c>
      <c r="J38" s="47">
        <v>65.97995</v>
      </c>
      <c r="K38" s="47">
        <v>-161.131753</v>
      </c>
      <c r="L38" s="47" t="s">
        <v>75</v>
      </c>
      <c r="M38" s="47" t="s">
        <v>162</v>
      </c>
      <c r="N38" s="47">
        <v>60.15795</v>
      </c>
      <c r="O38" s="47">
        <v>-164.2801</v>
      </c>
      <c r="P38" s="48" t="s">
        <v>602</v>
      </c>
      <c r="Q38" s="49" t="str">
        <f t="shared" ref="Q38:Q41" si="10">HYPERLINK("https://www.google.com/maps?q=65.97995,-161.131753","map: current")</f>
        <v>map: current</v>
      </c>
      <c r="R38" s="49" t="str">
        <f>HYPERLINK("https://www.google.com/maps?q=60.15795,-164.2801","map: suggested")</f>
        <v>map: suggested</v>
      </c>
      <c r="S38" s="48" t="s">
        <v>603</v>
      </c>
      <c r="T38" s="48" t="s">
        <v>604</v>
      </c>
      <c r="U38" s="47" t="s">
        <v>104</v>
      </c>
      <c r="V38" s="8"/>
      <c r="W38" s="8"/>
      <c r="X38" s="11"/>
      <c r="Y38" s="8"/>
      <c r="Z38" s="8"/>
    </row>
    <row r="39" ht="15.75" customHeight="1">
      <c r="A39" s="47" t="s">
        <v>67</v>
      </c>
      <c r="B39" s="47" t="s">
        <v>605</v>
      </c>
      <c r="C39" s="47">
        <v>1605.0</v>
      </c>
      <c r="D39" s="47">
        <v>1052.0</v>
      </c>
      <c r="E39" s="47" t="s">
        <v>606</v>
      </c>
      <c r="F39" s="47" t="s">
        <v>607</v>
      </c>
      <c r="G39" s="47">
        <v>385.0</v>
      </c>
      <c r="H39" s="47" t="s">
        <v>275</v>
      </c>
      <c r="I39" s="47" t="s">
        <v>596</v>
      </c>
      <c r="J39" s="47">
        <v>65.97995</v>
      </c>
      <c r="K39" s="47">
        <v>-161.131753</v>
      </c>
      <c r="L39" s="47" t="s">
        <v>75</v>
      </c>
      <c r="M39" s="47" t="s">
        <v>162</v>
      </c>
      <c r="N39" s="47">
        <v>59.95891</v>
      </c>
      <c r="O39" s="47">
        <v>-162.88926</v>
      </c>
      <c r="P39" s="48" t="s">
        <v>608</v>
      </c>
      <c r="Q39" s="49" t="str">
        <f t="shared" si="10"/>
        <v>map: current</v>
      </c>
      <c r="R39" s="49" t="str">
        <f>HYPERLINK("https://www.google.com/maps?q=59.95891,-162.88926","map: suggested")</f>
        <v>map: suggested</v>
      </c>
      <c r="S39" s="48" t="s">
        <v>603</v>
      </c>
      <c r="T39" s="48" t="s">
        <v>609</v>
      </c>
      <c r="U39" s="47" t="s">
        <v>104</v>
      </c>
      <c r="V39" s="8"/>
      <c r="W39" s="8"/>
      <c r="X39" s="11"/>
      <c r="Y39" s="8"/>
      <c r="Z39" s="8"/>
    </row>
    <row r="40" ht="15.75" customHeight="1">
      <c r="A40" s="47" t="s">
        <v>67</v>
      </c>
      <c r="B40" s="47" t="s">
        <v>610</v>
      </c>
      <c r="C40" s="47">
        <v>1614.0</v>
      </c>
      <c r="D40" s="47">
        <v>1081.0</v>
      </c>
      <c r="E40" s="47" t="s">
        <v>611</v>
      </c>
      <c r="F40" s="47" t="s">
        <v>250</v>
      </c>
      <c r="G40" s="47">
        <v>385.0</v>
      </c>
      <c r="H40" s="47" t="s">
        <v>275</v>
      </c>
      <c r="I40" s="47" t="s">
        <v>596</v>
      </c>
      <c r="J40" s="47">
        <v>65.97995</v>
      </c>
      <c r="K40" s="47">
        <v>-161.131753</v>
      </c>
      <c r="L40" s="47" t="s">
        <v>75</v>
      </c>
      <c r="M40" s="47" t="s">
        <v>78</v>
      </c>
      <c r="N40" s="47">
        <v>64.88158</v>
      </c>
      <c r="O40" s="47">
        <v>-157.7057</v>
      </c>
      <c r="P40" s="48" t="s">
        <v>612</v>
      </c>
      <c r="Q40" s="49" t="str">
        <f t="shared" si="10"/>
        <v>map: current</v>
      </c>
      <c r="R40" s="49" t="str">
        <f>HYPERLINK("https://www.google.com/maps?q=64.88158,-157.7057","map: suggested")</f>
        <v>map: suggested</v>
      </c>
      <c r="S40" s="48" t="s">
        <v>603</v>
      </c>
      <c r="T40" s="48" t="s">
        <v>613</v>
      </c>
      <c r="U40" s="47" t="s">
        <v>104</v>
      </c>
      <c r="V40" s="8"/>
      <c r="W40" s="8"/>
      <c r="X40" s="11"/>
      <c r="Y40" s="8"/>
      <c r="Z40" s="8"/>
    </row>
    <row r="41" ht="15.75" customHeight="1">
      <c r="A41" s="47" t="s">
        <v>67</v>
      </c>
      <c r="B41" s="47" t="s">
        <v>614</v>
      </c>
      <c r="C41" s="47">
        <v>1618.0</v>
      </c>
      <c r="D41" s="47">
        <v>1095.0</v>
      </c>
      <c r="E41" s="47" t="s">
        <v>615</v>
      </c>
      <c r="F41" s="47" t="s">
        <v>616</v>
      </c>
      <c r="G41" s="47">
        <v>385.0</v>
      </c>
      <c r="H41" s="47" t="s">
        <v>275</v>
      </c>
      <c r="I41" s="47" t="s">
        <v>596</v>
      </c>
      <c r="J41" s="47">
        <v>65.97995</v>
      </c>
      <c r="K41" s="47">
        <v>-161.131753</v>
      </c>
      <c r="L41" s="47" t="s">
        <v>75</v>
      </c>
      <c r="M41" s="47" t="s">
        <v>78</v>
      </c>
      <c r="N41" s="47">
        <v>59.88183</v>
      </c>
      <c r="O41" s="47">
        <v>-163.15163</v>
      </c>
      <c r="P41" s="48" t="s">
        <v>617</v>
      </c>
      <c r="Q41" s="49" t="str">
        <f t="shared" si="10"/>
        <v>map: current</v>
      </c>
      <c r="R41" s="49" t="str">
        <f>HYPERLINK("https://www.google.com/maps?q=59.88183,-163.15163","map: suggested")</f>
        <v>map: suggested</v>
      </c>
      <c r="S41" s="48" t="s">
        <v>603</v>
      </c>
      <c r="T41" s="48" t="s">
        <v>618</v>
      </c>
      <c r="U41" s="47" t="s">
        <v>104</v>
      </c>
      <c r="V41" s="8"/>
      <c r="W41" s="8"/>
      <c r="X41" s="11"/>
      <c r="Y41" s="8"/>
      <c r="Z41" s="8"/>
    </row>
    <row r="42" ht="15.75" customHeight="1">
      <c r="A42" s="47" t="s">
        <v>67</v>
      </c>
      <c r="B42" s="47" t="s">
        <v>619</v>
      </c>
      <c r="C42" s="47">
        <v>1578.0</v>
      </c>
      <c r="D42" s="47">
        <v>969.0</v>
      </c>
      <c r="E42" s="47" t="s">
        <v>620</v>
      </c>
      <c r="F42" s="47" t="s">
        <v>289</v>
      </c>
      <c r="G42" s="47">
        <v>415.0</v>
      </c>
      <c r="H42" s="47" t="s">
        <v>275</v>
      </c>
      <c r="I42" s="47" t="s">
        <v>136</v>
      </c>
      <c r="J42" s="47">
        <v>65.980507</v>
      </c>
      <c r="K42" s="47">
        <v>-161.138453</v>
      </c>
      <c r="L42" s="47" t="s">
        <v>75</v>
      </c>
      <c r="M42" s="47" t="s">
        <v>139</v>
      </c>
      <c r="N42" s="47">
        <v>65.980507</v>
      </c>
      <c r="O42" s="47">
        <v>-161.138453</v>
      </c>
      <c r="P42" s="48" t="s">
        <v>621</v>
      </c>
      <c r="Q42" s="49" t="str">
        <f t="shared" ref="Q42:Q43" si="11">HYPERLINK("https://www.google.com/maps?q=65.980507,-161.138453","map: current")</f>
        <v>map: current</v>
      </c>
      <c r="R42" s="49" t="str">
        <f>HYPERLINK("https://www.google.com/maps?q=65.980507,-161.138453","map: suggested")</f>
        <v>map: suggested</v>
      </c>
      <c r="S42" s="48" t="s">
        <v>622</v>
      </c>
      <c r="T42" s="48" t="s">
        <v>623</v>
      </c>
      <c r="U42" s="47" t="s">
        <v>155</v>
      </c>
      <c r="V42" s="8"/>
      <c r="W42" s="8"/>
      <c r="X42" s="11"/>
      <c r="Y42" s="8"/>
      <c r="Z42" s="8"/>
    </row>
    <row r="43" ht="15.75" customHeight="1">
      <c r="A43" s="47" t="s">
        <v>67</v>
      </c>
      <c r="B43" s="47" t="s">
        <v>624</v>
      </c>
      <c r="C43" s="47">
        <v>1838.0</v>
      </c>
      <c r="D43" s="47">
        <v>1549.0</v>
      </c>
      <c r="E43" s="47" t="s">
        <v>625</v>
      </c>
      <c r="F43" s="47" t="s">
        <v>626</v>
      </c>
      <c r="G43" s="47">
        <v>415.0</v>
      </c>
      <c r="H43" s="47" t="s">
        <v>275</v>
      </c>
      <c r="I43" s="47" t="s">
        <v>136</v>
      </c>
      <c r="J43" s="47">
        <v>65.980507</v>
      </c>
      <c r="K43" s="47">
        <v>-161.138453</v>
      </c>
      <c r="L43" s="47" t="s">
        <v>75</v>
      </c>
      <c r="M43" s="47" t="s">
        <v>162</v>
      </c>
      <c r="N43" s="47">
        <v>66.60506</v>
      </c>
      <c r="O43" s="47">
        <v>-160.01359</v>
      </c>
      <c r="P43" s="48" t="s">
        <v>627</v>
      </c>
      <c r="Q43" s="49" t="str">
        <f t="shared" si="11"/>
        <v>map: current</v>
      </c>
      <c r="R43" s="49" t="str">
        <f>HYPERLINK("https://www.google.com/maps?q=66.60506,-160.01359","map: suggested")</f>
        <v>map: suggested</v>
      </c>
      <c r="S43" s="48" t="s">
        <v>628</v>
      </c>
      <c r="T43" s="48" t="s">
        <v>629</v>
      </c>
      <c r="U43" s="47" t="s">
        <v>104</v>
      </c>
      <c r="V43" s="8"/>
      <c r="W43" s="8"/>
      <c r="X43" s="11"/>
      <c r="Y43" s="8"/>
      <c r="Z43" s="8"/>
    </row>
    <row r="44" ht="15.75" customHeight="1">
      <c r="A44" s="50" t="s">
        <v>67</v>
      </c>
      <c r="B44" s="50" t="s">
        <v>630</v>
      </c>
      <c r="C44" s="50">
        <v>1475.0</v>
      </c>
      <c r="D44" s="50">
        <v>688.0</v>
      </c>
      <c r="E44" s="50" t="s">
        <v>631</v>
      </c>
      <c r="F44" s="50" t="s">
        <v>235</v>
      </c>
      <c r="G44" s="50"/>
      <c r="H44" s="50"/>
      <c r="I44" s="50"/>
      <c r="J44" s="50">
        <v>66.564199</v>
      </c>
      <c r="K44" s="50">
        <v>-145.257639</v>
      </c>
      <c r="L44" s="50" t="s">
        <v>75</v>
      </c>
      <c r="M44" s="50" t="s">
        <v>78</v>
      </c>
      <c r="N44" s="50">
        <v>64.74393</v>
      </c>
      <c r="O44" s="50">
        <v>-156.87661</v>
      </c>
      <c r="P44" s="51" t="s">
        <v>632</v>
      </c>
      <c r="Q44" s="52" t="str">
        <f>HYPERLINK("https://www.google.com/maps?q=66.564199,-145.257639","map: current")</f>
        <v>map: current</v>
      </c>
      <c r="R44" s="52" t="str">
        <f>HYPERLINK("https://www.google.com/maps?q=64.74393,-156.87661","map: suggested")</f>
        <v>map: suggested</v>
      </c>
      <c r="S44" s="51"/>
      <c r="T44" s="51" t="s">
        <v>633</v>
      </c>
      <c r="U44" s="50" t="s">
        <v>104</v>
      </c>
      <c r="V44" s="8"/>
      <c r="W44" s="8"/>
      <c r="X44" s="11"/>
      <c r="Y44" s="8"/>
      <c r="Z44" s="8"/>
    </row>
    <row r="45" ht="15.75" customHeight="1">
      <c r="A45" s="50" t="s">
        <v>67</v>
      </c>
      <c r="B45" s="50" t="s">
        <v>634</v>
      </c>
      <c r="C45" s="50">
        <v>1471.0</v>
      </c>
      <c r="D45" s="50">
        <v>684.0</v>
      </c>
      <c r="E45" s="50" t="s">
        <v>635</v>
      </c>
      <c r="F45" s="50" t="s">
        <v>235</v>
      </c>
      <c r="G45" s="50">
        <v>158.0</v>
      </c>
      <c r="H45" s="50" t="s">
        <v>222</v>
      </c>
      <c r="I45" s="50" t="s">
        <v>636</v>
      </c>
      <c r="J45" s="50">
        <v>66.567962</v>
      </c>
      <c r="K45" s="50">
        <v>-145.25809</v>
      </c>
      <c r="L45" s="50" t="s">
        <v>75</v>
      </c>
      <c r="M45" s="50" t="s">
        <v>162</v>
      </c>
      <c r="N45" s="50">
        <v>64.73893</v>
      </c>
      <c r="O45" s="50">
        <v>-156.94416</v>
      </c>
      <c r="P45" s="51" t="s">
        <v>637</v>
      </c>
      <c r="Q45" s="52" t="str">
        <f>HYPERLINK("https://www.google.com/maps?q=66.567962,-145.25809","map: current")</f>
        <v>map: current</v>
      </c>
      <c r="R45" s="52" t="str">
        <f>HYPERLINK("https://www.google.com/maps?q=64.73893,-156.94416","map: suggested")</f>
        <v>map: suggested</v>
      </c>
      <c r="S45" s="51" t="s">
        <v>638</v>
      </c>
      <c r="T45" s="51" t="s">
        <v>639</v>
      </c>
      <c r="U45" s="50" t="s">
        <v>104</v>
      </c>
      <c r="V45" s="8"/>
      <c r="W45" s="8"/>
      <c r="X45" s="11"/>
      <c r="Y45" s="8"/>
      <c r="Z45" s="8"/>
    </row>
    <row r="46" ht="15.75" customHeight="1">
      <c r="A46" s="50" t="s">
        <v>382</v>
      </c>
      <c r="B46" s="50" t="s">
        <v>636</v>
      </c>
      <c r="C46" s="50">
        <v>1453.0</v>
      </c>
      <c r="D46" s="50">
        <v>659.0</v>
      </c>
      <c r="E46" s="50" t="s">
        <v>640</v>
      </c>
      <c r="F46" s="50" t="s">
        <v>222</v>
      </c>
      <c r="G46" s="50">
        <v>158.0</v>
      </c>
      <c r="H46" s="50" t="s">
        <v>222</v>
      </c>
      <c r="I46" s="50" t="s">
        <v>636</v>
      </c>
      <c r="J46" s="50">
        <v>66.56796229</v>
      </c>
      <c r="K46" s="50">
        <v>-145.25809</v>
      </c>
      <c r="L46" s="50" t="s">
        <v>75</v>
      </c>
      <c r="M46" s="50" t="s">
        <v>387</v>
      </c>
      <c r="N46" s="50"/>
      <c r="O46" s="50"/>
      <c r="P46" s="51" t="s">
        <v>389</v>
      </c>
      <c r="Q46" s="52" t="str">
        <f>HYPERLINK("https://www.google.com/maps?q=66.56796229,-145.25809","map: current")</f>
        <v>map: current</v>
      </c>
      <c r="R46" s="50"/>
      <c r="S46" s="51" t="s">
        <v>641</v>
      </c>
      <c r="T46" s="51" t="s">
        <v>642</v>
      </c>
      <c r="U46" s="50" t="s">
        <v>176</v>
      </c>
      <c r="V46" s="8"/>
      <c r="W46" s="8"/>
      <c r="X46" s="11"/>
      <c r="Y46" s="8"/>
      <c r="Z46" s="8"/>
    </row>
    <row r="47" ht="15.75" customHeight="1">
      <c r="A47" s="53" t="s">
        <v>382</v>
      </c>
      <c r="B47" s="53" t="s">
        <v>643</v>
      </c>
      <c r="C47" s="53">
        <v>1579.0</v>
      </c>
      <c r="D47" s="53">
        <v>970.0</v>
      </c>
      <c r="E47" s="53" t="s">
        <v>644</v>
      </c>
      <c r="F47" s="53" t="s">
        <v>289</v>
      </c>
      <c r="G47" s="53">
        <v>408.0</v>
      </c>
      <c r="H47" s="53" t="s">
        <v>289</v>
      </c>
      <c r="I47" s="53" t="s">
        <v>643</v>
      </c>
      <c r="J47" s="53">
        <v>66.97150852</v>
      </c>
      <c r="K47" s="53">
        <v>-160.43825735</v>
      </c>
      <c r="L47" s="53" t="s">
        <v>75</v>
      </c>
      <c r="M47" s="53" t="s">
        <v>387</v>
      </c>
      <c r="N47" s="53"/>
      <c r="O47" s="53"/>
      <c r="P47" s="54" t="s">
        <v>389</v>
      </c>
      <c r="Q47" s="55" t="str">
        <f>HYPERLINK("https://www.google.com/maps?q=66.97150852,-160.43825735","map: current")</f>
        <v>map: current</v>
      </c>
      <c r="R47" s="53"/>
      <c r="S47" s="54" t="s">
        <v>645</v>
      </c>
      <c r="T47" s="54" t="s">
        <v>646</v>
      </c>
      <c r="U47" s="53" t="s">
        <v>176</v>
      </c>
      <c r="V47" s="8"/>
      <c r="W47" s="8"/>
      <c r="X47" s="11"/>
      <c r="Y47" s="8"/>
      <c r="Z47" s="8"/>
    </row>
    <row r="48" ht="15.75" customHeight="1">
      <c r="A48" s="53" t="s">
        <v>67</v>
      </c>
      <c r="B48" s="53" t="s">
        <v>647</v>
      </c>
      <c r="C48" s="53">
        <v>1693.0</v>
      </c>
      <c r="D48" s="53">
        <v>1274.0</v>
      </c>
      <c r="E48" s="53" t="s">
        <v>648</v>
      </c>
      <c r="F48" s="53" t="s">
        <v>135</v>
      </c>
      <c r="G48" s="53">
        <v>408.0</v>
      </c>
      <c r="H48" s="53" t="s">
        <v>289</v>
      </c>
      <c r="I48" s="53" t="s">
        <v>643</v>
      </c>
      <c r="J48" s="53">
        <v>66.971509</v>
      </c>
      <c r="K48" s="53">
        <v>-160.438257</v>
      </c>
      <c r="L48" s="53" t="s">
        <v>487</v>
      </c>
      <c r="M48" s="53" t="s">
        <v>488</v>
      </c>
      <c r="N48" s="53">
        <v>66.83289</v>
      </c>
      <c r="O48" s="53">
        <v>-161.04431</v>
      </c>
      <c r="P48" s="54" t="s">
        <v>649</v>
      </c>
      <c r="Q48" s="55" t="str">
        <f t="shared" ref="Q48:Q49" si="12">HYPERLINK("https://www.google.com/maps?q=66.971509,-160.438257","map: current")</f>
        <v>map: current</v>
      </c>
      <c r="R48" s="55" t="str">
        <f>HYPERLINK("https://www.google.com/maps?q=66.83289,-161.04431","map: suggested")</f>
        <v>map: suggested</v>
      </c>
      <c r="S48" s="54" t="s">
        <v>650</v>
      </c>
      <c r="T48" s="54" t="s">
        <v>651</v>
      </c>
      <c r="U48" s="53" t="s">
        <v>85</v>
      </c>
      <c r="V48" s="8"/>
      <c r="W48" s="8"/>
      <c r="X48" s="11"/>
      <c r="Y48" s="8"/>
      <c r="Z48" s="8"/>
    </row>
    <row r="49" ht="15.75" customHeight="1">
      <c r="A49" s="53" t="s">
        <v>67</v>
      </c>
      <c r="B49" s="53" t="s">
        <v>652</v>
      </c>
      <c r="C49" s="53">
        <v>1696.0</v>
      </c>
      <c r="D49" s="53">
        <v>1277.0</v>
      </c>
      <c r="E49" s="53" t="s">
        <v>653</v>
      </c>
      <c r="F49" s="53" t="s">
        <v>135</v>
      </c>
      <c r="G49" s="53">
        <v>408.0</v>
      </c>
      <c r="H49" s="53" t="s">
        <v>289</v>
      </c>
      <c r="I49" s="53" t="s">
        <v>643</v>
      </c>
      <c r="J49" s="53">
        <v>66.971509</v>
      </c>
      <c r="K49" s="53">
        <v>-160.438257</v>
      </c>
      <c r="L49" s="53" t="s">
        <v>246</v>
      </c>
      <c r="M49" s="53" t="s">
        <v>247</v>
      </c>
      <c r="N49" s="53">
        <v>66.83374</v>
      </c>
      <c r="O49" s="53">
        <v>-161.03908</v>
      </c>
      <c r="P49" s="54" t="s">
        <v>248</v>
      </c>
      <c r="Q49" s="55" t="str">
        <f t="shared" si="12"/>
        <v>map: current</v>
      </c>
      <c r="R49" s="55" t="str">
        <f>HYPERLINK("https://www.google.com/maps?q=66.83374,-161.03908","map: suggested")</f>
        <v>map: suggested</v>
      </c>
      <c r="S49" s="54" t="s">
        <v>650</v>
      </c>
      <c r="T49" s="54" t="s">
        <v>258</v>
      </c>
      <c r="U49" s="53" t="s">
        <v>176</v>
      </c>
      <c r="V49" s="8"/>
      <c r="W49" s="8"/>
      <c r="X49" s="11"/>
      <c r="Y49" s="8"/>
      <c r="Z49" s="8"/>
    </row>
    <row r="50" ht="15.75" customHeight="1">
      <c r="A50" s="53" t="s">
        <v>382</v>
      </c>
      <c r="B50" s="53" t="s">
        <v>654</v>
      </c>
      <c r="C50" s="53">
        <v>1574.0</v>
      </c>
      <c r="D50" s="53">
        <v>965.0</v>
      </c>
      <c r="E50" s="53" t="s">
        <v>655</v>
      </c>
      <c r="F50" s="53" t="s">
        <v>289</v>
      </c>
      <c r="G50" s="53">
        <v>410.0</v>
      </c>
      <c r="H50" s="53" t="s">
        <v>289</v>
      </c>
      <c r="I50" s="53" t="s">
        <v>654</v>
      </c>
      <c r="J50" s="53">
        <v>66.97392587</v>
      </c>
      <c r="K50" s="53">
        <v>-160.42911638</v>
      </c>
      <c r="L50" s="53" t="s">
        <v>75</v>
      </c>
      <c r="M50" s="53" t="s">
        <v>387</v>
      </c>
      <c r="N50" s="53"/>
      <c r="O50" s="53"/>
      <c r="P50" s="54" t="s">
        <v>389</v>
      </c>
      <c r="Q50" s="55" t="str">
        <f>HYPERLINK("https://www.google.com/maps?q=66.97392587,-160.42911638","map: current")</f>
        <v>map: current</v>
      </c>
      <c r="R50" s="53"/>
      <c r="S50" s="54" t="s">
        <v>656</v>
      </c>
      <c r="T50" s="54" t="s">
        <v>657</v>
      </c>
      <c r="U50" s="53" t="s">
        <v>176</v>
      </c>
      <c r="V50" s="8"/>
      <c r="W50" s="8"/>
      <c r="X50" s="11"/>
      <c r="Y50" s="8"/>
      <c r="Z50" s="8"/>
    </row>
    <row r="51" ht="15.75" customHeight="1">
      <c r="A51" s="53" t="s">
        <v>67</v>
      </c>
      <c r="B51" s="53" t="s">
        <v>658</v>
      </c>
      <c r="C51" s="53">
        <v>1834.0</v>
      </c>
      <c r="D51" s="53">
        <v>1545.0</v>
      </c>
      <c r="E51" s="53" t="s">
        <v>659</v>
      </c>
      <c r="F51" s="53" t="s">
        <v>626</v>
      </c>
      <c r="G51" s="53">
        <v>410.0</v>
      </c>
      <c r="H51" s="53" t="s">
        <v>289</v>
      </c>
      <c r="I51" s="53" t="s">
        <v>654</v>
      </c>
      <c r="J51" s="53">
        <v>66.973926</v>
      </c>
      <c r="K51" s="53">
        <v>-160.429116</v>
      </c>
      <c r="L51" s="53" t="s">
        <v>75</v>
      </c>
      <c r="M51" s="53" t="s">
        <v>162</v>
      </c>
      <c r="N51" s="53">
        <v>66.60506</v>
      </c>
      <c r="O51" s="53">
        <v>-160.01359</v>
      </c>
      <c r="P51" s="54" t="s">
        <v>660</v>
      </c>
      <c r="Q51" s="55" t="str">
        <f>HYPERLINK("https://www.google.com/maps?q=66.973926,-160.429116","map: current")</f>
        <v>map: current</v>
      </c>
      <c r="R51" s="55" t="str">
        <f>HYPERLINK("https://www.google.com/maps?q=66.60506,-160.01359","map: suggested")</f>
        <v>map: suggested</v>
      </c>
      <c r="S51" s="54" t="s">
        <v>661</v>
      </c>
      <c r="T51" s="54" t="s">
        <v>662</v>
      </c>
      <c r="U51" s="53" t="s">
        <v>104</v>
      </c>
      <c r="V51" s="8"/>
      <c r="W51" s="8"/>
      <c r="X51" s="11"/>
      <c r="Y51" s="8"/>
      <c r="Z51" s="8"/>
    </row>
    <row r="52" ht="15.75" customHeight="1">
      <c r="A52" s="56" t="s">
        <v>67</v>
      </c>
      <c r="B52" s="56" t="s">
        <v>663</v>
      </c>
      <c r="C52" s="56">
        <v>1496.0</v>
      </c>
      <c r="D52" s="56">
        <v>754.0</v>
      </c>
      <c r="E52" s="56" t="s">
        <v>664</v>
      </c>
      <c r="F52" s="56" t="s">
        <v>665</v>
      </c>
      <c r="G52" s="56">
        <v>179.0</v>
      </c>
      <c r="H52" s="56" t="s">
        <v>241</v>
      </c>
      <c r="I52" s="56" t="s">
        <v>136</v>
      </c>
      <c r="J52" s="56">
        <v>67.087671</v>
      </c>
      <c r="K52" s="56">
        <v>-157.856722</v>
      </c>
      <c r="L52" s="56" t="s">
        <v>75</v>
      </c>
      <c r="M52" s="56" t="s">
        <v>139</v>
      </c>
      <c r="N52" s="56">
        <v>67.087671</v>
      </c>
      <c r="O52" s="56">
        <v>-157.856722</v>
      </c>
      <c r="P52" s="57" t="s">
        <v>666</v>
      </c>
      <c r="Q52" s="58" t="str">
        <f t="shared" ref="Q52:Q53" si="13">HYPERLINK("https://www.google.com/maps?q=67.087671,-157.856722","map: current")</f>
        <v>map: current</v>
      </c>
      <c r="R52" s="58" t="str">
        <f>HYPERLINK("https://www.google.com/maps?q=67.087671,-157.856722","map: suggested")</f>
        <v>map: suggested</v>
      </c>
      <c r="S52" s="57" t="s">
        <v>667</v>
      </c>
      <c r="T52" s="57" t="s">
        <v>668</v>
      </c>
      <c r="U52" s="56" t="s">
        <v>155</v>
      </c>
      <c r="V52" s="8"/>
      <c r="W52" s="8"/>
      <c r="X52" s="11"/>
      <c r="Y52" s="8"/>
      <c r="Z52" s="8"/>
    </row>
    <row r="53" ht="15.75" customHeight="1">
      <c r="A53" s="56" t="s">
        <v>67</v>
      </c>
      <c r="B53" s="56" t="s">
        <v>669</v>
      </c>
      <c r="C53" s="56">
        <v>1940.0</v>
      </c>
      <c r="D53" s="56">
        <v>1813.0</v>
      </c>
      <c r="E53" s="56" t="s">
        <v>670</v>
      </c>
      <c r="F53" s="56" t="s">
        <v>671</v>
      </c>
      <c r="G53" s="56">
        <v>179.0</v>
      </c>
      <c r="H53" s="56" t="s">
        <v>241</v>
      </c>
      <c r="I53" s="56" t="s">
        <v>136</v>
      </c>
      <c r="J53" s="56">
        <v>67.087671</v>
      </c>
      <c r="K53" s="56">
        <v>-157.856722</v>
      </c>
      <c r="L53" s="56" t="s">
        <v>75</v>
      </c>
      <c r="M53" s="56" t="s">
        <v>162</v>
      </c>
      <c r="N53" s="56">
        <v>65.60616</v>
      </c>
      <c r="O53" s="56">
        <v>-168.08752</v>
      </c>
      <c r="P53" s="57" t="s">
        <v>672</v>
      </c>
      <c r="Q53" s="58" t="str">
        <f t="shared" si="13"/>
        <v>map: current</v>
      </c>
      <c r="R53" s="58" t="str">
        <f>HYPERLINK("https://www.google.com/maps?q=65.60616,-168.08752","map: suggested")</f>
        <v>map: suggested</v>
      </c>
      <c r="S53" s="57" t="s">
        <v>673</v>
      </c>
      <c r="T53" s="57" t="s">
        <v>674</v>
      </c>
      <c r="U53" s="56" t="s">
        <v>104</v>
      </c>
      <c r="V53" s="8"/>
      <c r="W53" s="8"/>
      <c r="X53" s="11"/>
      <c r="Y53" s="8"/>
      <c r="Z53" s="8"/>
    </row>
    <row r="54" ht="15.75" customHeight="1">
      <c r="A54" s="38" t="s">
        <v>382</v>
      </c>
      <c r="B54" s="38" t="s">
        <v>675</v>
      </c>
      <c r="C54" s="38">
        <v>1553.0</v>
      </c>
      <c r="D54" s="38">
        <v>884.0</v>
      </c>
      <c r="E54" s="38" t="s">
        <v>676</v>
      </c>
      <c r="F54" s="38" t="s">
        <v>278</v>
      </c>
      <c r="G54" s="38">
        <v>403.0</v>
      </c>
      <c r="H54" s="38" t="s">
        <v>278</v>
      </c>
      <c r="I54" s="38" t="s">
        <v>675</v>
      </c>
      <c r="J54" s="38">
        <v>70.12871985</v>
      </c>
      <c r="K54" s="38">
        <v>-143.6220736</v>
      </c>
      <c r="L54" s="38" t="s">
        <v>75</v>
      </c>
      <c r="M54" s="38" t="s">
        <v>387</v>
      </c>
      <c r="N54" s="38"/>
      <c r="O54" s="38"/>
      <c r="P54" s="39" t="s">
        <v>389</v>
      </c>
      <c r="Q54" s="40" t="str">
        <f>HYPERLINK("https://www.google.com/maps?q=70.12871985,-143.6220736","map: current")</f>
        <v>map: current</v>
      </c>
      <c r="R54" s="38"/>
      <c r="S54" s="39" t="s">
        <v>677</v>
      </c>
      <c r="T54" s="39" t="s">
        <v>678</v>
      </c>
      <c r="U54" s="38" t="s">
        <v>176</v>
      </c>
      <c r="V54" s="8"/>
      <c r="W54" s="8"/>
      <c r="X54" s="11"/>
      <c r="Y54" s="8"/>
      <c r="Z54" s="8"/>
    </row>
    <row r="55" ht="15.75" customHeight="1">
      <c r="A55" s="38" t="s">
        <v>67</v>
      </c>
      <c r="B55" s="38" t="s">
        <v>679</v>
      </c>
      <c r="C55" s="38">
        <v>1937.0</v>
      </c>
      <c r="D55" s="38">
        <v>1808.0</v>
      </c>
      <c r="E55" s="38" t="s">
        <v>680</v>
      </c>
      <c r="F55" s="38" t="s">
        <v>681</v>
      </c>
      <c r="G55" s="38">
        <v>403.0</v>
      </c>
      <c r="H55" s="38" t="s">
        <v>278</v>
      </c>
      <c r="I55" s="38" t="s">
        <v>675</v>
      </c>
      <c r="J55" s="38">
        <v>70.12872</v>
      </c>
      <c r="K55" s="38">
        <v>-143.622074</v>
      </c>
      <c r="L55" s="38" t="s">
        <v>75</v>
      </c>
      <c r="M55" s="38" t="s">
        <v>162</v>
      </c>
      <c r="N55" s="38">
        <v>70.63768</v>
      </c>
      <c r="O55" s="38">
        <v>-160.02965</v>
      </c>
      <c r="P55" s="39" t="s">
        <v>682</v>
      </c>
      <c r="Q55" s="40" t="str">
        <f>HYPERLINK("https://www.google.com/maps?q=70.12872,-143.622074","map: current")</f>
        <v>map: current</v>
      </c>
      <c r="R55" s="40" t="str">
        <f>HYPERLINK("https://www.google.com/maps?q=70.63768,-160.02965","map: suggested")</f>
        <v>map: suggested</v>
      </c>
      <c r="S55" s="39" t="s">
        <v>683</v>
      </c>
      <c r="T55" s="39" t="s">
        <v>684</v>
      </c>
      <c r="U55" s="38" t="s">
        <v>104</v>
      </c>
      <c r="V55" s="8"/>
      <c r="W55" s="8"/>
      <c r="X55" s="11"/>
      <c r="Y55" s="8"/>
      <c r="Z55" s="8"/>
    </row>
    <row r="56" ht="15.75" customHeight="1">
      <c r="A56" s="38" t="s">
        <v>67</v>
      </c>
      <c r="B56" s="38" t="s">
        <v>685</v>
      </c>
      <c r="C56" s="38">
        <v>1761.0</v>
      </c>
      <c r="D56" s="38">
        <v>1406.0</v>
      </c>
      <c r="E56" s="38" t="s">
        <v>686</v>
      </c>
      <c r="F56" s="38" t="s">
        <v>687</v>
      </c>
      <c r="G56" s="38">
        <v>397.0</v>
      </c>
      <c r="H56" s="38" t="s">
        <v>278</v>
      </c>
      <c r="I56" s="38" t="s">
        <v>688</v>
      </c>
      <c r="J56" s="38">
        <v>70.129193</v>
      </c>
      <c r="K56" s="38">
        <v>-143.609572</v>
      </c>
      <c r="L56" s="38" t="s">
        <v>487</v>
      </c>
      <c r="M56" s="38" t="s">
        <v>488</v>
      </c>
      <c r="N56" s="38">
        <v>69.74353</v>
      </c>
      <c r="O56" s="38">
        <v>-163.00189</v>
      </c>
      <c r="P56" s="39" t="s">
        <v>689</v>
      </c>
      <c r="Q56" s="40" t="str">
        <f>HYPERLINK("https://www.google.com/maps?q=70.129193,-143.609572","map: current")</f>
        <v>map: current</v>
      </c>
      <c r="R56" s="40" t="str">
        <f>HYPERLINK("https://www.google.com/maps?q=69.74353,-163.00189","map: suggested")</f>
        <v>map: suggested</v>
      </c>
      <c r="S56" s="39" t="s">
        <v>690</v>
      </c>
      <c r="T56" s="39" t="s">
        <v>691</v>
      </c>
      <c r="U56" s="38" t="s">
        <v>85</v>
      </c>
      <c r="V56" s="8"/>
      <c r="W56" s="8"/>
      <c r="X56" s="11"/>
      <c r="Y56" s="8"/>
      <c r="Z56" s="8"/>
    </row>
    <row r="57" ht="15.75" customHeight="1">
      <c r="A57" s="38" t="s">
        <v>382</v>
      </c>
      <c r="B57" s="38" t="s">
        <v>692</v>
      </c>
      <c r="C57" s="38">
        <v>1547.0</v>
      </c>
      <c r="D57" s="38">
        <v>878.0</v>
      </c>
      <c r="E57" s="38" t="s">
        <v>693</v>
      </c>
      <c r="F57" s="38" t="s">
        <v>278</v>
      </c>
      <c r="G57" s="38">
        <v>397.0</v>
      </c>
      <c r="H57" s="38" t="s">
        <v>278</v>
      </c>
      <c r="I57" s="38" t="s">
        <v>688</v>
      </c>
      <c r="J57" s="38">
        <v>70.12919302</v>
      </c>
      <c r="K57" s="38">
        <v>-143.60957182</v>
      </c>
      <c r="L57" s="38" t="s">
        <v>75</v>
      </c>
      <c r="M57" s="38" t="s">
        <v>387</v>
      </c>
      <c r="N57" s="38"/>
      <c r="O57" s="38"/>
      <c r="P57" s="39" t="s">
        <v>389</v>
      </c>
      <c r="Q57" s="40" t="str">
        <f t="shared" ref="Q57:Q58" si="14">HYPERLINK("https://www.google.com/maps?q=70.12919302,-143.60957182","map: current")</f>
        <v>map: current</v>
      </c>
      <c r="R57" s="38"/>
      <c r="S57" s="39" t="s">
        <v>694</v>
      </c>
      <c r="T57" s="39" t="s">
        <v>695</v>
      </c>
      <c r="U57" s="38" t="s">
        <v>176</v>
      </c>
      <c r="V57" s="8"/>
      <c r="W57" s="8"/>
      <c r="X57" s="11"/>
      <c r="Y57" s="8"/>
      <c r="Z57" s="8"/>
    </row>
    <row r="58" ht="15.75" customHeight="1">
      <c r="A58" s="38" t="s">
        <v>382</v>
      </c>
      <c r="B58" s="38" t="s">
        <v>696</v>
      </c>
      <c r="C58" s="38">
        <v>1559.0</v>
      </c>
      <c r="D58" s="38">
        <v>890.0</v>
      </c>
      <c r="E58" s="38" t="s">
        <v>697</v>
      </c>
      <c r="F58" s="38" t="s">
        <v>278</v>
      </c>
      <c r="G58" s="38">
        <v>397.0</v>
      </c>
      <c r="H58" s="38" t="s">
        <v>278</v>
      </c>
      <c r="I58" s="38" t="s">
        <v>688</v>
      </c>
      <c r="J58" s="38">
        <v>70.12919302</v>
      </c>
      <c r="K58" s="38">
        <v>-143.60957182</v>
      </c>
      <c r="L58" s="38" t="s">
        <v>246</v>
      </c>
      <c r="M58" s="38" t="s">
        <v>247</v>
      </c>
      <c r="N58" s="38"/>
      <c r="O58" s="38"/>
      <c r="P58" s="39" t="s">
        <v>480</v>
      </c>
      <c r="Q58" s="40" t="str">
        <f t="shared" si="14"/>
        <v>map: current</v>
      </c>
      <c r="R58" s="38"/>
      <c r="S58" s="39" t="s">
        <v>694</v>
      </c>
      <c r="T58" s="39" t="s">
        <v>258</v>
      </c>
      <c r="U58" s="38" t="s">
        <v>176</v>
      </c>
      <c r="V58" s="8"/>
      <c r="W58" s="8"/>
      <c r="X58" s="11"/>
      <c r="Y58" s="8"/>
      <c r="Z58" s="8"/>
    </row>
    <row r="59" ht="15.75" customHeight="1">
      <c r="A59" s="44" t="s">
        <v>382</v>
      </c>
      <c r="B59" s="44" t="s">
        <v>698</v>
      </c>
      <c r="C59" s="44">
        <v>1346.0</v>
      </c>
      <c r="D59" s="44">
        <v>295.0</v>
      </c>
      <c r="E59" s="44" t="s">
        <v>699</v>
      </c>
      <c r="F59" s="44" t="s">
        <v>354</v>
      </c>
      <c r="G59" s="44">
        <v>1087.0</v>
      </c>
      <c r="H59" s="44" t="s">
        <v>354</v>
      </c>
      <c r="I59" s="44" t="s">
        <v>698</v>
      </c>
      <c r="J59" s="44">
        <v>70.48153169</v>
      </c>
      <c r="K59" s="44">
        <v>-157.42508015</v>
      </c>
      <c r="L59" s="44" t="s">
        <v>75</v>
      </c>
      <c r="M59" s="44" t="s">
        <v>387</v>
      </c>
      <c r="N59" s="44"/>
      <c r="O59" s="44"/>
      <c r="P59" s="45" t="s">
        <v>389</v>
      </c>
      <c r="Q59" s="46" t="str">
        <f>HYPERLINK("https://www.google.com/maps?q=70.48153169,-157.42508015","map: current")</f>
        <v>map: current</v>
      </c>
      <c r="R59" s="44"/>
      <c r="S59" s="45" t="s">
        <v>700</v>
      </c>
      <c r="T59" s="45" t="s">
        <v>701</v>
      </c>
      <c r="U59" s="44" t="s">
        <v>176</v>
      </c>
      <c r="V59" s="8"/>
      <c r="W59" s="8"/>
      <c r="X59" s="11"/>
      <c r="Y59" s="8"/>
      <c r="Z59" s="8"/>
    </row>
    <row r="60" ht="15.75" customHeight="1">
      <c r="A60" s="44" t="s">
        <v>67</v>
      </c>
      <c r="B60" s="44" t="s">
        <v>702</v>
      </c>
      <c r="C60" s="44">
        <v>1562.0</v>
      </c>
      <c r="D60" s="44">
        <v>893.0</v>
      </c>
      <c r="E60" s="44" t="s">
        <v>703</v>
      </c>
      <c r="F60" s="44" t="s">
        <v>278</v>
      </c>
      <c r="G60" s="44">
        <v>1087.0</v>
      </c>
      <c r="H60" s="44" t="s">
        <v>354</v>
      </c>
      <c r="I60" s="44" t="s">
        <v>698</v>
      </c>
      <c r="J60" s="44">
        <v>70.481532</v>
      </c>
      <c r="K60" s="44">
        <v>-157.42508</v>
      </c>
      <c r="L60" s="44" t="s">
        <v>75</v>
      </c>
      <c r="M60" s="44" t="s">
        <v>162</v>
      </c>
      <c r="N60" s="44">
        <v>70.12888</v>
      </c>
      <c r="O60" s="44">
        <v>-143.61834</v>
      </c>
      <c r="P60" s="45" t="s">
        <v>704</v>
      </c>
      <c r="Q60" s="46" t="str">
        <f t="shared" ref="Q60:Q61" si="15">HYPERLINK("https://www.google.com/maps?q=70.481532,-157.42508","map: current")</f>
        <v>map: current</v>
      </c>
      <c r="R60" s="46" t="str">
        <f>HYPERLINK("https://www.google.com/maps?q=70.12888,-143.61834","map: suggested")</f>
        <v>map: suggested</v>
      </c>
      <c r="S60" s="45" t="s">
        <v>705</v>
      </c>
      <c r="T60" s="45" t="s">
        <v>706</v>
      </c>
      <c r="U60" s="44" t="s">
        <v>104</v>
      </c>
      <c r="V60" s="8"/>
      <c r="W60" s="8"/>
      <c r="X60" s="11"/>
      <c r="Y60" s="8"/>
      <c r="Z60" s="8"/>
    </row>
    <row r="61" ht="15.75" customHeight="1">
      <c r="A61" s="44" t="s">
        <v>67</v>
      </c>
      <c r="B61" s="44" t="s">
        <v>707</v>
      </c>
      <c r="C61" s="44">
        <v>1716.0</v>
      </c>
      <c r="D61" s="44">
        <v>1310.0</v>
      </c>
      <c r="E61" s="44" t="s">
        <v>708</v>
      </c>
      <c r="F61" s="44" t="s">
        <v>709</v>
      </c>
      <c r="G61" s="44">
        <v>1087.0</v>
      </c>
      <c r="H61" s="44" t="s">
        <v>354</v>
      </c>
      <c r="I61" s="44" t="s">
        <v>698</v>
      </c>
      <c r="J61" s="44">
        <v>70.481532</v>
      </c>
      <c r="K61" s="44">
        <v>-157.42508</v>
      </c>
      <c r="L61" s="44" t="s">
        <v>75</v>
      </c>
      <c r="M61" s="44" t="s">
        <v>162</v>
      </c>
      <c r="N61" s="44">
        <v>70.21607</v>
      </c>
      <c r="O61" s="44">
        <v>-150.99798</v>
      </c>
      <c r="P61" s="45" t="s">
        <v>710</v>
      </c>
      <c r="Q61" s="46" t="str">
        <f t="shared" si="15"/>
        <v>map: current</v>
      </c>
      <c r="R61" s="46" t="str">
        <f>HYPERLINK("https://www.google.com/maps?q=70.21607,-150.99798","map: suggested")</f>
        <v>map: suggested</v>
      </c>
      <c r="S61" s="45" t="s">
        <v>705</v>
      </c>
      <c r="T61" s="45" t="s">
        <v>711</v>
      </c>
      <c r="U61" s="44" t="s">
        <v>104</v>
      </c>
      <c r="V61" s="8"/>
      <c r="W61" s="8"/>
      <c r="X61" s="11"/>
      <c r="Y61" s="8"/>
      <c r="Z61" s="8"/>
    </row>
    <row r="62" ht="15.75" customHeight="1">
      <c r="A62" s="44" t="s">
        <v>382</v>
      </c>
      <c r="B62" s="44" t="s">
        <v>712</v>
      </c>
      <c r="C62" s="44">
        <v>1345.0</v>
      </c>
      <c r="D62" s="44">
        <v>294.0</v>
      </c>
      <c r="E62" s="44" t="s">
        <v>713</v>
      </c>
      <c r="F62" s="44" t="s">
        <v>354</v>
      </c>
      <c r="G62" s="44">
        <v>1095.0</v>
      </c>
      <c r="H62" s="44" t="s">
        <v>354</v>
      </c>
      <c r="I62" s="44" t="s">
        <v>712</v>
      </c>
      <c r="J62" s="44">
        <v>70.48240452</v>
      </c>
      <c r="K62" s="44">
        <v>-157.42530546</v>
      </c>
      <c r="L62" s="44" t="s">
        <v>75</v>
      </c>
      <c r="M62" s="44" t="s">
        <v>387</v>
      </c>
      <c r="N62" s="44"/>
      <c r="O62" s="44"/>
      <c r="P62" s="45" t="s">
        <v>389</v>
      </c>
      <c r="Q62" s="46" t="str">
        <f>HYPERLINK("https://www.google.com/maps?q=70.48240452,-157.42530546","map: current")</f>
        <v>map: current</v>
      </c>
      <c r="R62" s="44"/>
      <c r="S62" s="45" t="s">
        <v>714</v>
      </c>
      <c r="T62" s="45" t="s">
        <v>715</v>
      </c>
      <c r="U62" s="44" t="s">
        <v>176</v>
      </c>
      <c r="V62" s="8"/>
      <c r="W62" s="8"/>
      <c r="X62" s="11"/>
      <c r="Y62" s="8"/>
      <c r="Z62" s="8"/>
    </row>
    <row r="63" ht="15.75" customHeight="1">
      <c r="A63" s="44" t="s">
        <v>67</v>
      </c>
      <c r="B63" s="44" t="s">
        <v>716</v>
      </c>
      <c r="C63" s="44">
        <v>1718.0</v>
      </c>
      <c r="D63" s="44">
        <v>1312.0</v>
      </c>
      <c r="E63" s="44" t="s">
        <v>717</v>
      </c>
      <c r="F63" s="44" t="s">
        <v>709</v>
      </c>
      <c r="G63" s="44">
        <v>1095.0</v>
      </c>
      <c r="H63" s="44" t="s">
        <v>354</v>
      </c>
      <c r="I63" s="44" t="s">
        <v>712</v>
      </c>
      <c r="J63" s="44">
        <v>70.482405</v>
      </c>
      <c r="K63" s="44">
        <v>-157.425305</v>
      </c>
      <c r="L63" s="44" t="s">
        <v>75</v>
      </c>
      <c r="M63" s="44" t="s">
        <v>162</v>
      </c>
      <c r="N63" s="44">
        <v>70.21607</v>
      </c>
      <c r="O63" s="44">
        <v>-150.99798</v>
      </c>
      <c r="P63" s="45" t="s">
        <v>718</v>
      </c>
      <c r="Q63" s="46" t="str">
        <f t="shared" ref="Q63:Q64" si="16">HYPERLINK("https://www.google.com/maps?q=70.482405,-157.425305","map: current")</f>
        <v>map: current</v>
      </c>
      <c r="R63" s="46" t="str">
        <f>HYPERLINK("https://www.google.com/maps?q=70.21607,-150.99798","map: suggested")</f>
        <v>map: suggested</v>
      </c>
      <c r="S63" s="45" t="s">
        <v>719</v>
      </c>
      <c r="T63" s="45" t="s">
        <v>720</v>
      </c>
      <c r="U63" s="44" t="s">
        <v>104</v>
      </c>
      <c r="V63" s="8"/>
      <c r="W63" s="8"/>
      <c r="X63" s="11"/>
      <c r="Y63" s="8"/>
      <c r="Z63" s="8"/>
    </row>
    <row r="64" ht="15.75" customHeight="1">
      <c r="A64" s="44" t="s">
        <v>67</v>
      </c>
      <c r="B64" s="44" t="s">
        <v>721</v>
      </c>
      <c r="C64" s="44">
        <v>1762.0</v>
      </c>
      <c r="D64" s="44">
        <v>1407.0</v>
      </c>
      <c r="E64" s="44" t="s">
        <v>722</v>
      </c>
      <c r="F64" s="44" t="s">
        <v>687</v>
      </c>
      <c r="G64" s="44">
        <v>1095.0</v>
      </c>
      <c r="H64" s="44" t="s">
        <v>354</v>
      </c>
      <c r="I64" s="44" t="s">
        <v>712</v>
      </c>
      <c r="J64" s="44">
        <v>70.482405</v>
      </c>
      <c r="K64" s="44">
        <v>-157.425305</v>
      </c>
      <c r="L64" s="44" t="s">
        <v>75</v>
      </c>
      <c r="M64" s="44" t="s">
        <v>162</v>
      </c>
      <c r="N64" s="44">
        <v>69.74182</v>
      </c>
      <c r="O64" s="44">
        <v>-163.01075</v>
      </c>
      <c r="P64" s="45" t="s">
        <v>723</v>
      </c>
      <c r="Q64" s="46" t="str">
        <f t="shared" si="16"/>
        <v>map: current</v>
      </c>
      <c r="R64" s="46" t="str">
        <f>HYPERLINK("https://www.google.com/maps?q=69.74182,-163.01075","map: suggested")</f>
        <v>map: suggested</v>
      </c>
      <c r="S64" s="45" t="s">
        <v>719</v>
      </c>
      <c r="T64" s="45" t="s">
        <v>724</v>
      </c>
      <c r="U64" s="44" t="s">
        <v>104</v>
      </c>
      <c r="V64" s="8"/>
      <c r="W64" s="8"/>
      <c r="X64" s="11"/>
      <c r="Y64" s="8"/>
      <c r="Z64" s="8"/>
    </row>
    <row r="65" ht="15.75" customHeight="1">
      <c r="A65" s="44" t="s">
        <v>382</v>
      </c>
      <c r="B65" s="44" t="s">
        <v>725</v>
      </c>
      <c r="C65" s="44">
        <v>1347.0</v>
      </c>
      <c r="D65" s="44">
        <v>296.0</v>
      </c>
      <c r="E65" s="44" t="s">
        <v>726</v>
      </c>
      <c r="F65" s="44" t="s">
        <v>354</v>
      </c>
      <c r="G65" s="44">
        <v>1094.0</v>
      </c>
      <c r="H65" s="44" t="s">
        <v>354</v>
      </c>
      <c r="I65" s="44" t="s">
        <v>725</v>
      </c>
      <c r="J65" s="44">
        <v>70.48333467</v>
      </c>
      <c r="K65" s="44">
        <v>-157.42603502</v>
      </c>
      <c r="L65" s="44" t="s">
        <v>75</v>
      </c>
      <c r="M65" s="44" t="s">
        <v>387</v>
      </c>
      <c r="N65" s="44"/>
      <c r="O65" s="44"/>
      <c r="P65" s="45" t="s">
        <v>389</v>
      </c>
      <c r="Q65" s="46" t="str">
        <f>HYPERLINK("https://www.google.com/maps?q=70.48333467,-157.42603502","map: current")</f>
        <v>map: current</v>
      </c>
      <c r="R65" s="44"/>
      <c r="S65" s="45" t="s">
        <v>727</v>
      </c>
      <c r="T65" s="45" t="s">
        <v>728</v>
      </c>
      <c r="U65" s="44" t="s">
        <v>176</v>
      </c>
      <c r="V65" s="8"/>
      <c r="W65" s="8"/>
      <c r="X65" s="11"/>
      <c r="Y65" s="8"/>
      <c r="Z65" s="8"/>
    </row>
    <row r="66" ht="15.75" customHeight="1">
      <c r="A66" s="44" t="s">
        <v>67</v>
      </c>
      <c r="B66" s="44" t="s">
        <v>729</v>
      </c>
      <c r="C66" s="44">
        <v>1560.0</v>
      </c>
      <c r="D66" s="44">
        <v>891.0</v>
      </c>
      <c r="E66" s="44" t="s">
        <v>730</v>
      </c>
      <c r="F66" s="44" t="s">
        <v>278</v>
      </c>
      <c r="G66" s="44">
        <v>1094.0</v>
      </c>
      <c r="H66" s="44" t="s">
        <v>354</v>
      </c>
      <c r="I66" s="44" t="s">
        <v>725</v>
      </c>
      <c r="J66" s="44">
        <v>70.483335</v>
      </c>
      <c r="K66" s="44">
        <v>-157.426035</v>
      </c>
      <c r="L66" s="44" t="s">
        <v>246</v>
      </c>
      <c r="M66" s="44" t="s">
        <v>247</v>
      </c>
      <c r="N66" s="44">
        <v>70.12888</v>
      </c>
      <c r="O66" s="44">
        <v>-143.61834</v>
      </c>
      <c r="P66" s="45" t="s">
        <v>731</v>
      </c>
      <c r="Q66" s="46" t="str">
        <f t="shared" ref="Q66:Q69" si="17">HYPERLINK("https://www.google.com/maps?q=70.483335,-157.426035","map: current")</f>
        <v>map: current</v>
      </c>
      <c r="R66" s="46" t="str">
        <f>HYPERLINK("https://www.google.com/maps?q=70.12888,-143.61834","map: suggested")</f>
        <v>map: suggested</v>
      </c>
      <c r="S66" s="45" t="s">
        <v>732</v>
      </c>
      <c r="T66" s="45" t="s">
        <v>258</v>
      </c>
      <c r="U66" s="44" t="s">
        <v>176</v>
      </c>
      <c r="V66" s="8"/>
      <c r="W66" s="8"/>
      <c r="X66" s="11"/>
      <c r="Y66" s="8"/>
      <c r="Z66" s="8"/>
    </row>
    <row r="67" ht="15.75" customHeight="1">
      <c r="A67" s="44" t="s">
        <v>67</v>
      </c>
      <c r="B67" s="44" t="s">
        <v>733</v>
      </c>
      <c r="C67" s="44">
        <v>1717.0</v>
      </c>
      <c r="D67" s="44">
        <v>1311.0</v>
      </c>
      <c r="E67" s="44" t="s">
        <v>734</v>
      </c>
      <c r="F67" s="44" t="s">
        <v>709</v>
      </c>
      <c r="G67" s="44">
        <v>1094.0</v>
      </c>
      <c r="H67" s="44" t="s">
        <v>354</v>
      </c>
      <c r="I67" s="44" t="s">
        <v>725</v>
      </c>
      <c r="J67" s="44">
        <v>70.483335</v>
      </c>
      <c r="K67" s="44">
        <v>-157.426035</v>
      </c>
      <c r="L67" s="44" t="s">
        <v>246</v>
      </c>
      <c r="M67" s="44" t="s">
        <v>247</v>
      </c>
      <c r="N67" s="44">
        <v>70.21607</v>
      </c>
      <c r="O67" s="44">
        <v>-150.99798</v>
      </c>
      <c r="P67" s="45" t="s">
        <v>731</v>
      </c>
      <c r="Q67" s="46" t="str">
        <f t="shared" si="17"/>
        <v>map: current</v>
      </c>
      <c r="R67" s="46" t="str">
        <f>HYPERLINK("https://www.google.com/maps?q=70.21607,-150.99798","map: suggested")</f>
        <v>map: suggested</v>
      </c>
      <c r="S67" s="45" t="s">
        <v>732</v>
      </c>
      <c r="T67" s="45" t="s">
        <v>258</v>
      </c>
      <c r="U67" s="44" t="s">
        <v>176</v>
      </c>
      <c r="V67" s="8"/>
      <c r="W67" s="8"/>
      <c r="X67" s="11"/>
      <c r="Y67" s="8"/>
      <c r="Z67" s="8"/>
    </row>
    <row r="68" ht="15.75" customHeight="1">
      <c r="A68" s="44" t="s">
        <v>67</v>
      </c>
      <c r="B68" s="44" t="s">
        <v>735</v>
      </c>
      <c r="C68" s="44">
        <v>1752.0</v>
      </c>
      <c r="D68" s="44">
        <v>1395.0</v>
      </c>
      <c r="E68" s="44" t="s">
        <v>736</v>
      </c>
      <c r="F68" s="44" t="s">
        <v>737</v>
      </c>
      <c r="G68" s="44">
        <v>1094.0</v>
      </c>
      <c r="H68" s="44" t="s">
        <v>354</v>
      </c>
      <c r="I68" s="44" t="s">
        <v>725</v>
      </c>
      <c r="J68" s="44">
        <v>70.483335</v>
      </c>
      <c r="K68" s="44">
        <v>-157.426035</v>
      </c>
      <c r="L68" s="44" t="s">
        <v>246</v>
      </c>
      <c r="M68" s="44" t="s">
        <v>247</v>
      </c>
      <c r="N68" s="44">
        <v>68.34876</v>
      </c>
      <c r="O68" s="44">
        <v>-166.73152</v>
      </c>
      <c r="P68" s="45" t="s">
        <v>731</v>
      </c>
      <c r="Q68" s="46" t="str">
        <f t="shared" si="17"/>
        <v>map: current</v>
      </c>
      <c r="R68" s="46" t="str">
        <f>HYPERLINK("https://www.google.com/maps?q=68.34876,-166.73152","map: suggested")</f>
        <v>map: suggested</v>
      </c>
      <c r="S68" s="45" t="s">
        <v>732</v>
      </c>
      <c r="T68" s="45" t="s">
        <v>258</v>
      </c>
      <c r="U68" s="44" t="s">
        <v>176</v>
      </c>
      <c r="V68" s="8"/>
      <c r="W68" s="8"/>
      <c r="X68" s="11"/>
      <c r="Y68" s="8"/>
      <c r="Z68" s="8"/>
    </row>
    <row r="69" ht="15.75" customHeight="1">
      <c r="A69" s="44" t="s">
        <v>67</v>
      </c>
      <c r="B69" s="44" t="s">
        <v>738</v>
      </c>
      <c r="C69" s="44">
        <v>1763.0</v>
      </c>
      <c r="D69" s="44">
        <v>1408.0</v>
      </c>
      <c r="E69" s="44" t="s">
        <v>739</v>
      </c>
      <c r="F69" s="44" t="s">
        <v>687</v>
      </c>
      <c r="G69" s="44">
        <v>1094.0</v>
      </c>
      <c r="H69" s="44" t="s">
        <v>354</v>
      </c>
      <c r="I69" s="44" t="s">
        <v>725</v>
      </c>
      <c r="J69" s="44">
        <v>70.483335</v>
      </c>
      <c r="K69" s="44">
        <v>-157.426035</v>
      </c>
      <c r="L69" s="44" t="s">
        <v>246</v>
      </c>
      <c r="M69" s="44" t="s">
        <v>247</v>
      </c>
      <c r="N69" s="44">
        <v>69.74182</v>
      </c>
      <c r="O69" s="44">
        <v>-163.01075</v>
      </c>
      <c r="P69" s="45" t="s">
        <v>731</v>
      </c>
      <c r="Q69" s="46" t="str">
        <f t="shared" si="17"/>
        <v>map: current</v>
      </c>
      <c r="R69" s="46" t="str">
        <f>HYPERLINK("https://www.google.com/maps?q=69.74182,-163.01075","map: suggested")</f>
        <v>map: suggested</v>
      </c>
      <c r="S69" s="45" t="s">
        <v>732</v>
      </c>
      <c r="T69" s="45" t="s">
        <v>258</v>
      </c>
      <c r="U69" s="44" t="s">
        <v>176</v>
      </c>
      <c r="V69" s="8"/>
      <c r="W69" s="8"/>
      <c r="X69" s="11"/>
      <c r="Y69" s="8"/>
      <c r="Z69" s="8"/>
    </row>
    <row r="70" ht="15.75" customHeight="1">
      <c r="V70" s="59"/>
      <c r="W70" s="59"/>
      <c r="X70" s="60"/>
      <c r="Y70" s="59"/>
      <c r="Z70" s="59"/>
    </row>
    <row r="71" ht="15.75" customHeight="1">
      <c r="V71" s="59"/>
      <c r="W71" s="59"/>
      <c r="X71" s="60"/>
      <c r="Y71" s="59"/>
      <c r="Z71" s="59"/>
    </row>
    <row r="72" ht="15.75" customHeight="1">
      <c r="V72" s="59"/>
      <c r="W72" s="59"/>
      <c r="X72" s="60"/>
      <c r="Y72" s="59"/>
      <c r="Z72" s="59"/>
    </row>
    <row r="73" ht="15.75" customHeight="1">
      <c r="V73" s="59"/>
      <c r="W73" s="59"/>
      <c r="X73" s="60"/>
      <c r="Y73" s="59"/>
      <c r="Z73" s="59"/>
    </row>
    <row r="74" ht="15.75" customHeight="1">
      <c r="V74" s="59"/>
      <c r="W74" s="59"/>
      <c r="X74" s="60"/>
      <c r="Y74" s="59"/>
      <c r="Z74" s="59"/>
    </row>
    <row r="75" ht="15.75" customHeight="1">
      <c r="V75" s="59"/>
      <c r="W75" s="59"/>
      <c r="X75" s="60"/>
      <c r="Y75" s="59"/>
      <c r="Z75" s="59"/>
    </row>
    <row r="76" ht="15.75" customHeight="1">
      <c r="V76" s="59"/>
      <c r="W76" s="59"/>
      <c r="X76" s="60"/>
      <c r="Y76" s="59"/>
      <c r="Z76" s="59"/>
    </row>
    <row r="77" ht="15.75" customHeight="1">
      <c r="V77" s="59"/>
      <c r="W77" s="59"/>
      <c r="X77" s="60"/>
      <c r="Y77" s="59"/>
      <c r="Z77" s="59"/>
    </row>
    <row r="78" ht="15.75" customHeight="1">
      <c r="V78" s="59"/>
      <c r="W78" s="59"/>
      <c r="X78" s="60"/>
      <c r="Y78" s="59"/>
      <c r="Z78" s="59"/>
    </row>
    <row r="79" ht="15.75" customHeight="1">
      <c r="V79" s="59"/>
      <c r="W79" s="59"/>
      <c r="X79" s="60"/>
      <c r="Y79" s="59"/>
      <c r="Z79" s="59"/>
    </row>
    <row r="80" ht="15.75" customHeight="1">
      <c r="V80" s="59"/>
      <c r="W80" s="59"/>
      <c r="X80" s="60"/>
      <c r="Y80" s="59"/>
      <c r="Z80" s="59"/>
    </row>
    <row r="81" ht="15.75" customHeight="1">
      <c r="V81" s="59"/>
      <c r="W81" s="59"/>
      <c r="X81" s="60"/>
      <c r="Y81" s="59"/>
      <c r="Z81" s="59"/>
    </row>
    <row r="82" ht="15.75" customHeight="1">
      <c r="V82" s="59"/>
      <c r="W82" s="59"/>
      <c r="X82" s="60"/>
      <c r="Y82" s="59"/>
      <c r="Z82" s="59"/>
    </row>
    <row r="83" ht="15.75" customHeight="1">
      <c r="V83" s="59"/>
      <c r="W83" s="59"/>
      <c r="X83" s="60"/>
      <c r="Y83" s="59"/>
      <c r="Z83" s="59"/>
    </row>
    <row r="84" ht="15.75" customHeight="1">
      <c r="V84" s="59"/>
      <c r="W84" s="59"/>
      <c r="X84" s="60"/>
      <c r="Y84" s="59"/>
      <c r="Z84" s="59"/>
    </row>
    <row r="85" ht="15.75" customHeight="1">
      <c r="V85" s="59"/>
      <c r="W85" s="59"/>
      <c r="X85" s="60"/>
      <c r="Y85" s="59"/>
      <c r="Z85" s="59"/>
    </row>
    <row r="86" ht="15.75" customHeight="1">
      <c r="V86" s="59"/>
      <c r="W86" s="59"/>
      <c r="X86" s="60"/>
      <c r="Y86" s="59"/>
      <c r="Z86" s="59"/>
    </row>
    <row r="87" ht="15.75" customHeight="1">
      <c r="V87" s="59"/>
      <c r="W87" s="59"/>
      <c r="X87" s="60"/>
      <c r="Y87" s="59"/>
      <c r="Z87" s="59"/>
    </row>
    <row r="88" ht="15.75" customHeight="1">
      <c r="V88" s="59"/>
      <c r="W88" s="59"/>
      <c r="X88" s="60"/>
      <c r="Y88" s="59"/>
      <c r="Z88" s="59"/>
    </row>
    <row r="89" ht="15.75" customHeight="1">
      <c r="V89" s="59"/>
      <c r="W89" s="59"/>
      <c r="X89" s="60"/>
      <c r="Y89" s="59"/>
      <c r="Z89" s="59"/>
    </row>
    <row r="90" ht="15.75" customHeight="1">
      <c r="V90" s="59"/>
      <c r="W90" s="59"/>
      <c r="X90" s="60"/>
      <c r="Y90" s="59"/>
      <c r="Z90" s="59"/>
    </row>
    <row r="91" ht="15.75" customHeight="1">
      <c r="V91" s="59"/>
      <c r="W91" s="59"/>
      <c r="X91" s="60"/>
      <c r="Y91" s="59"/>
      <c r="Z91" s="59"/>
    </row>
    <row r="92" ht="15.75" customHeight="1">
      <c r="V92" s="59"/>
      <c r="W92" s="59"/>
      <c r="X92" s="60"/>
      <c r="Y92" s="59"/>
      <c r="Z92" s="59"/>
    </row>
    <row r="93" ht="15.75" customHeight="1">
      <c r="V93" s="59"/>
      <c r="W93" s="59"/>
      <c r="X93" s="60"/>
      <c r="Y93" s="59"/>
      <c r="Z93" s="59"/>
    </row>
    <row r="94" ht="15.75" customHeight="1">
      <c r="V94" s="59"/>
      <c r="W94" s="59"/>
      <c r="X94" s="60"/>
      <c r="Y94" s="59"/>
      <c r="Z94" s="59"/>
    </row>
    <row r="95" ht="15.75" customHeight="1">
      <c r="V95" s="59"/>
      <c r="W95" s="59"/>
      <c r="X95" s="60"/>
      <c r="Y95" s="59"/>
      <c r="Z95" s="59"/>
    </row>
    <row r="96" ht="15.75" customHeight="1">
      <c r="V96" s="59"/>
      <c r="W96" s="59"/>
      <c r="X96" s="60"/>
      <c r="Y96" s="59"/>
      <c r="Z96" s="59"/>
    </row>
    <row r="97" ht="15.75" customHeight="1">
      <c r="V97" s="59"/>
      <c r="W97" s="59"/>
      <c r="X97" s="60"/>
      <c r="Y97" s="59"/>
      <c r="Z97" s="59"/>
    </row>
    <row r="98" ht="15.75" customHeight="1">
      <c r="V98" s="59"/>
      <c r="W98" s="59"/>
      <c r="X98" s="60"/>
      <c r="Y98" s="59"/>
      <c r="Z98" s="59"/>
    </row>
    <row r="99" ht="15.75" customHeight="1">
      <c r="V99" s="59"/>
      <c r="W99" s="59"/>
      <c r="X99" s="60"/>
      <c r="Y99" s="59"/>
      <c r="Z99" s="59"/>
    </row>
    <row r="100" ht="15.75" customHeight="1">
      <c r="V100" s="59"/>
      <c r="W100" s="59"/>
      <c r="X100" s="60"/>
      <c r="Y100" s="59"/>
      <c r="Z100" s="59"/>
    </row>
    <row r="101" ht="15.75" customHeight="1">
      <c r="V101" s="59"/>
      <c r="W101" s="59"/>
      <c r="X101" s="60"/>
      <c r="Y101" s="59"/>
      <c r="Z101" s="59"/>
    </row>
    <row r="102" ht="15.75" customHeight="1">
      <c r="V102" s="59"/>
      <c r="W102" s="59"/>
      <c r="X102" s="60"/>
      <c r="Y102" s="59"/>
      <c r="Z102" s="59"/>
    </row>
    <row r="103" ht="15.75" customHeight="1">
      <c r="V103" s="59"/>
      <c r="W103" s="59"/>
      <c r="X103" s="60"/>
      <c r="Y103" s="59"/>
      <c r="Z103" s="59"/>
    </row>
    <row r="104" ht="15.75" customHeight="1">
      <c r="V104" s="59"/>
      <c r="W104" s="59"/>
      <c r="X104" s="60"/>
      <c r="Y104" s="59"/>
      <c r="Z104" s="59"/>
    </row>
    <row r="105" ht="15.75" customHeight="1">
      <c r="V105" s="59"/>
      <c r="W105" s="59"/>
      <c r="X105" s="60"/>
      <c r="Y105" s="59"/>
      <c r="Z105" s="59"/>
    </row>
    <row r="106" ht="15.75" customHeight="1">
      <c r="V106" s="59"/>
      <c r="W106" s="59"/>
      <c r="X106" s="60"/>
      <c r="Y106" s="59"/>
      <c r="Z106" s="59"/>
    </row>
    <row r="107" ht="15.75" customHeight="1">
      <c r="V107" s="59"/>
      <c r="W107" s="59"/>
      <c r="X107" s="60"/>
      <c r="Y107" s="59"/>
      <c r="Z107" s="59"/>
    </row>
    <row r="108" ht="15.75" customHeight="1">
      <c r="V108" s="59"/>
      <c r="W108" s="59"/>
      <c r="X108" s="60"/>
      <c r="Y108" s="59"/>
      <c r="Z108" s="59"/>
    </row>
    <row r="109" ht="15.75" customHeight="1">
      <c r="V109" s="59"/>
      <c r="W109" s="59"/>
      <c r="X109" s="60"/>
      <c r="Y109" s="59"/>
      <c r="Z109" s="59"/>
    </row>
    <row r="110" ht="15.75" customHeight="1">
      <c r="V110" s="59"/>
      <c r="W110" s="59"/>
      <c r="X110" s="60"/>
      <c r="Y110" s="59"/>
      <c r="Z110" s="59"/>
    </row>
    <row r="111" ht="15.75" customHeight="1">
      <c r="V111" s="59"/>
      <c r="W111" s="59"/>
      <c r="X111" s="60"/>
      <c r="Y111" s="59"/>
      <c r="Z111" s="59"/>
    </row>
    <row r="112" ht="15.75" customHeight="1">
      <c r="V112" s="59"/>
      <c r="W112" s="59"/>
      <c r="X112" s="60"/>
      <c r="Y112" s="59"/>
      <c r="Z112" s="59"/>
    </row>
    <row r="113" ht="15.75" customHeight="1">
      <c r="V113" s="59"/>
      <c r="W113" s="59"/>
      <c r="X113" s="60"/>
      <c r="Y113" s="59"/>
      <c r="Z113" s="59"/>
    </row>
    <row r="114" ht="15.75" customHeight="1">
      <c r="V114" s="59"/>
      <c r="W114" s="59"/>
      <c r="X114" s="60"/>
      <c r="Y114" s="59"/>
      <c r="Z114" s="59"/>
    </row>
    <row r="115" ht="15.75" customHeight="1">
      <c r="V115" s="59"/>
      <c r="W115" s="59"/>
      <c r="X115" s="60"/>
      <c r="Y115" s="59"/>
      <c r="Z115" s="59"/>
    </row>
    <row r="116" ht="15.75" customHeight="1">
      <c r="V116" s="59"/>
      <c r="W116" s="59"/>
      <c r="X116" s="60"/>
      <c r="Y116" s="59"/>
      <c r="Z116" s="59"/>
    </row>
    <row r="117" ht="15.75" customHeight="1">
      <c r="V117" s="59"/>
      <c r="W117" s="59"/>
      <c r="X117" s="60"/>
      <c r="Y117" s="59"/>
      <c r="Z117" s="59"/>
    </row>
    <row r="118" ht="15.75" customHeight="1">
      <c r="V118" s="59"/>
      <c r="W118" s="59"/>
      <c r="X118" s="60"/>
      <c r="Y118" s="59"/>
      <c r="Z118" s="59"/>
    </row>
    <row r="119" ht="15.75" customHeight="1">
      <c r="V119" s="59"/>
      <c r="W119" s="59"/>
      <c r="X119" s="60"/>
      <c r="Y119" s="59"/>
      <c r="Z119" s="59"/>
    </row>
    <row r="120" ht="15.75" customHeight="1">
      <c r="V120" s="59"/>
      <c r="W120" s="59"/>
      <c r="X120" s="60"/>
      <c r="Y120" s="59"/>
      <c r="Z120" s="59"/>
    </row>
    <row r="121" ht="15.75" customHeight="1">
      <c r="V121" s="59"/>
      <c r="W121" s="59"/>
      <c r="X121" s="60"/>
      <c r="Y121" s="59"/>
      <c r="Z121" s="59"/>
    </row>
    <row r="122" ht="15.75" customHeight="1">
      <c r="V122" s="59"/>
      <c r="W122" s="59"/>
      <c r="X122" s="60"/>
      <c r="Y122" s="59"/>
      <c r="Z122" s="59"/>
    </row>
    <row r="123" ht="15.75" customHeight="1">
      <c r="V123" s="59"/>
      <c r="W123" s="59"/>
      <c r="X123" s="60"/>
      <c r="Y123" s="59"/>
      <c r="Z123" s="59"/>
    </row>
    <row r="124" ht="15.75" customHeight="1">
      <c r="V124" s="59"/>
      <c r="W124" s="59"/>
      <c r="X124" s="60"/>
      <c r="Y124" s="59"/>
      <c r="Z124" s="59"/>
    </row>
    <row r="125" ht="15.75" customHeight="1">
      <c r="V125" s="59"/>
      <c r="W125" s="59"/>
      <c r="X125" s="60"/>
      <c r="Y125" s="59"/>
      <c r="Z125" s="59"/>
    </row>
    <row r="126" ht="15.75" customHeight="1">
      <c r="V126" s="59"/>
      <c r="W126" s="59"/>
      <c r="X126" s="60"/>
      <c r="Y126" s="59"/>
      <c r="Z126" s="59"/>
    </row>
    <row r="127" ht="15.75" customHeight="1">
      <c r="V127" s="59"/>
      <c r="W127" s="59"/>
      <c r="X127" s="60"/>
      <c r="Y127" s="59"/>
      <c r="Z127" s="59"/>
    </row>
    <row r="128" ht="15.75" customHeight="1">
      <c r="V128" s="59"/>
      <c r="W128" s="59"/>
      <c r="X128" s="60"/>
      <c r="Y128" s="59"/>
      <c r="Z128" s="59"/>
    </row>
    <row r="129" ht="15.75" customHeight="1">
      <c r="V129" s="59"/>
      <c r="W129" s="59"/>
      <c r="X129" s="60"/>
      <c r="Y129" s="59"/>
      <c r="Z129" s="59"/>
    </row>
    <row r="130" ht="15.75" customHeight="1">
      <c r="V130" s="59"/>
      <c r="W130" s="59"/>
      <c r="X130" s="60"/>
      <c r="Y130" s="59"/>
      <c r="Z130" s="59"/>
    </row>
    <row r="131" ht="15.75" customHeight="1">
      <c r="V131" s="59"/>
      <c r="W131" s="59"/>
      <c r="X131" s="60"/>
      <c r="Y131" s="59"/>
      <c r="Z131" s="59"/>
    </row>
    <row r="132" ht="15.75" customHeight="1">
      <c r="V132" s="59"/>
      <c r="W132" s="59"/>
      <c r="X132" s="60"/>
      <c r="Y132" s="59"/>
      <c r="Z132" s="59"/>
    </row>
    <row r="133" ht="15.75" customHeight="1">
      <c r="V133" s="59"/>
      <c r="W133" s="59"/>
      <c r="X133" s="60"/>
      <c r="Y133" s="59"/>
      <c r="Z133" s="59"/>
    </row>
    <row r="134" ht="15.75" customHeight="1">
      <c r="V134" s="59"/>
      <c r="W134" s="59"/>
      <c r="X134" s="60"/>
      <c r="Y134" s="59"/>
      <c r="Z134" s="59"/>
    </row>
    <row r="135" ht="15.75" customHeight="1">
      <c r="V135" s="59"/>
      <c r="W135" s="59"/>
      <c r="X135" s="60"/>
      <c r="Y135" s="59"/>
      <c r="Z135" s="59"/>
    </row>
    <row r="136" ht="15.75" customHeight="1">
      <c r="V136" s="59"/>
      <c r="W136" s="59"/>
      <c r="X136" s="60"/>
      <c r="Y136" s="59"/>
      <c r="Z136" s="59"/>
    </row>
    <row r="137" ht="15.75" customHeight="1">
      <c r="V137" s="59"/>
      <c r="W137" s="59"/>
      <c r="X137" s="60"/>
      <c r="Y137" s="59"/>
      <c r="Z137" s="59"/>
    </row>
    <row r="138" ht="15.75" customHeight="1">
      <c r="V138" s="59"/>
      <c r="W138" s="59"/>
      <c r="X138" s="60"/>
      <c r="Y138" s="59"/>
      <c r="Z138" s="59"/>
    </row>
    <row r="139" ht="15.75" customHeight="1">
      <c r="V139" s="59"/>
      <c r="W139" s="59"/>
      <c r="X139" s="60"/>
      <c r="Y139" s="59"/>
      <c r="Z139" s="59"/>
    </row>
    <row r="140" ht="15.75" customHeight="1">
      <c r="V140" s="59"/>
      <c r="W140" s="59"/>
      <c r="X140" s="60"/>
      <c r="Y140" s="59"/>
      <c r="Z140" s="59"/>
    </row>
    <row r="141" ht="15.75" customHeight="1">
      <c r="V141" s="59"/>
      <c r="W141" s="59"/>
      <c r="X141" s="60"/>
      <c r="Y141" s="59"/>
      <c r="Z141" s="59"/>
    </row>
    <row r="142" ht="15.75" customHeight="1">
      <c r="V142" s="59"/>
      <c r="W142" s="59"/>
      <c r="X142" s="60"/>
      <c r="Y142" s="59"/>
      <c r="Z142" s="59"/>
    </row>
    <row r="143" ht="15.75" customHeight="1">
      <c r="V143" s="59"/>
      <c r="W143" s="59"/>
      <c r="X143" s="60"/>
      <c r="Y143" s="59"/>
      <c r="Z143" s="59"/>
    </row>
    <row r="144" ht="15.75" customHeight="1">
      <c r="V144" s="59"/>
      <c r="W144" s="59"/>
      <c r="X144" s="60"/>
      <c r="Y144" s="59"/>
      <c r="Z144" s="59"/>
    </row>
    <row r="145" ht="15.75" customHeight="1">
      <c r="V145" s="59"/>
      <c r="W145" s="59"/>
      <c r="X145" s="60"/>
      <c r="Y145" s="59"/>
      <c r="Z145" s="59"/>
    </row>
    <row r="146" ht="15.75" customHeight="1">
      <c r="V146" s="59"/>
      <c r="W146" s="59"/>
      <c r="X146" s="60"/>
      <c r="Y146" s="59"/>
      <c r="Z146" s="59"/>
    </row>
    <row r="147" ht="15.75" customHeight="1">
      <c r="V147" s="59"/>
      <c r="W147" s="59"/>
      <c r="X147" s="60"/>
      <c r="Y147" s="59"/>
      <c r="Z147" s="59"/>
    </row>
    <row r="148" ht="15.75" customHeight="1">
      <c r="V148" s="59"/>
      <c r="W148" s="59"/>
      <c r="X148" s="60"/>
      <c r="Y148" s="59"/>
      <c r="Z148" s="59"/>
    </row>
    <row r="149" ht="15.75" customHeight="1">
      <c r="V149" s="59"/>
      <c r="W149" s="59"/>
      <c r="X149" s="60"/>
      <c r="Y149" s="59"/>
      <c r="Z149" s="59"/>
    </row>
    <row r="150" ht="15.75" customHeight="1">
      <c r="V150" s="59"/>
      <c r="W150" s="59"/>
      <c r="X150" s="60"/>
      <c r="Y150" s="59"/>
      <c r="Z150" s="59"/>
    </row>
    <row r="151" ht="15.75" customHeight="1">
      <c r="V151" s="59"/>
      <c r="W151" s="59"/>
      <c r="X151" s="60"/>
      <c r="Y151" s="59"/>
      <c r="Z151" s="59"/>
    </row>
    <row r="152" ht="15.75" customHeight="1">
      <c r="V152" s="59"/>
      <c r="W152" s="59"/>
      <c r="X152" s="60"/>
      <c r="Y152" s="59"/>
      <c r="Z152" s="59"/>
    </row>
    <row r="153" ht="15.75" customHeight="1">
      <c r="V153" s="59"/>
      <c r="W153" s="59"/>
      <c r="X153" s="60"/>
      <c r="Y153" s="59"/>
      <c r="Z153" s="59"/>
    </row>
    <row r="154" ht="15.75" customHeight="1">
      <c r="V154" s="59"/>
      <c r="W154" s="59"/>
      <c r="X154" s="60"/>
      <c r="Y154" s="59"/>
      <c r="Z154" s="59"/>
    </row>
    <row r="155" ht="15.75" customHeight="1">
      <c r="V155" s="59"/>
      <c r="W155" s="59"/>
      <c r="X155" s="60"/>
      <c r="Y155" s="59"/>
      <c r="Z155" s="59"/>
    </row>
    <row r="156" ht="15.75" customHeight="1">
      <c r="V156" s="59"/>
      <c r="W156" s="59"/>
      <c r="X156" s="60"/>
      <c r="Y156" s="59"/>
      <c r="Z156" s="59"/>
    </row>
    <row r="157" ht="15.75" customHeight="1">
      <c r="V157" s="59"/>
      <c r="W157" s="59"/>
      <c r="X157" s="60"/>
      <c r="Y157" s="59"/>
      <c r="Z157" s="59"/>
    </row>
    <row r="158" ht="15.75" customHeight="1">
      <c r="V158" s="59"/>
      <c r="W158" s="59"/>
      <c r="X158" s="60"/>
      <c r="Y158" s="59"/>
      <c r="Z158" s="59"/>
    </row>
    <row r="159" ht="15.75" customHeight="1">
      <c r="V159" s="59"/>
      <c r="W159" s="59"/>
      <c r="X159" s="60"/>
      <c r="Y159" s="59"/>
      <c r="Z159" s="59"/>
    </row>
    <row r="160" ht="15.75" customHeight="1">
      <c r="V160" s="59"/>
      <c r="W160" s="59"/>
      <c r="X160" s="60"/>
      <c r="Y160" s="59"/>
      <c r="Z160" s="59"/>
    </row>
    <row r="161" ht="15.75" customHeight="1">
      <c r="V161" s="59"/>
      <c r="W161" s="59"/>
      <c r="X161" s="60"/>
      <c r="Y161" s="59"/>
      <c r="Z161" s="59"/>
    </row>
    <row r="162" ht="15.75" customHeight="1">
      <c r="V162" s="59"/>
      <c r="W162" s="59"/>
      <c r="X162" s="60"/>
      <c r="Y162" s="59"/>
      <c r="Z162" s="59"/>
    </row>
    <row r="163" ht="15.75" customHeight="1">
      <c r="V163" s="59"/>
      <c r="W163" s="59"/>
      <c r="X163" s="60"/>
      <c r="Y163" s="59"/>
      <c r="Z163" s="59"/>
    </row>
    <row r="164" ht="15.75" customHeight="1">
      <c r="V164" s="59"/>
      <c r="W164" s="59"/>
      <c r="X164" s="60"/>
      <c r="Y164" s="59"/>
      <c r="Z164" s="59"/>
    </row>
    <row r="165" ht="15.75" customHeight="1">
      <c r="V165" s="59"/>
      <c r="W165" s="59"/>
      <c r="X165" s="60"/>
      <c r="Y165" s="59"/>
      <c r="Z165" s="59"/>
    </row>
    <row r="166" ht="15.75" customHeight="1">
      <c r="V166" s="59"/>
      <c r="W166" s="59"/>
      <c r="X166" s="60"/>
      <c r="Y166" s="59"/>
      <c r="Z166" s="59"/>
    </row>
    <row r="167" ht="15.75" customHeight="1">
      <c r="V167" s="59"/>
      <c r="W167" s="59"/>
      <c r="X167" s="60"/>
      <c r="Y167" s="59"/>
      <c r="Z167" s="59"/>
    </row>
    <row r="168" ht="15.75" customHeight="1">
      <c r="V168" s="59"/>
      <c r="W168" s="59"/>
      <c r="X168" s="60"/>
      <c r="Y168" s="59"/>
      <c r="Z168" s="59"/>
    </row>
    <row r="169" ht="15.75" customHeight="1">
      <c r="V169" s="59"/>
      <c r="W169" s="59"/>
      <c r="X169" s="60"/>
      <c r="Y169" s="59"/>
      <c r="Z169" s="59"/>
    </row>
    <row r="170" ht="15.75" customHeight="1">
      <c r="V170" s="59"/>
      <c r="W170" s="59"/>
      <c r="X170" s="60"/>
      <c r="Y170" s="59"/>
      <c r="Z170" s="59"/>
    </row>
    <row r="171" ht="15.75" customHeight="1">
      <c r="V171" s="59"/>
      <c r="W171" s="59"/>
      <c r="X171" s="60"/>
      <c r="Y171" s="59"/>
      <c r="Z171" s="59"/>
    </row>
    <row r="172" ht="15.75" customHeight="1">
      <c r="V172" s="59"/>
      <c r="W172" s="59"/>
      <c r="X172" s="60"/>
      <c r="Y172" s="59"/>
      <c r="Z172" s="59"/>
    </row>
    <row r="173" ht="15.75" customHeight="1">
      <c r="V173" s="59"/>
      <c r="W173" s="59"/>
      <c r="X173" s="60"/>
      <c r="Y173" s="59"/>
      <c r="Z173" s="59"/>
    </row>
    <row r="174" ht="15.75" customHeight="1">
      <c r="V174" s="59"/>
      <c r="W174" s="59"/>
      <c r="X174" s="60"/>
      <c r="Y174" s="59"/>
      <c r="Z174" s="59"/>
    </row>
    <row r="175" ht="15.75" customHeight="1">
      <c r="V175" s="59"/>
      <c r="W175" s="59"/>
      <c r="X175" s="60"/>
      <c r="Y175" s="59"/>
      <c r="Z175" s="59"/>
    </row>
    <row r="176" ht="15.75" customHeight="1">
      <c r="V176" s="59"/>
      <c r="W176" s="59"/>
      <c r="X176" s="60"/>
      <c r="Y176" s="59"/>
      <c r="Z176" s="59"/>
    </row>
    <row r="177" ht="15.75" customHeight="1">
      <c r="V177" s="59"/>
      <c r="W177" s="59"/>
      <c r="X177" s="60"/>
      <c r="Y177" s="59"/>
      <c r="Z177" s="59"/>
    </row>
    <row r="178" ht="15.75" customHeight="1">
      <c r="V178" s="59"/>
      <c r="W178" s="59"/>
      <c r="X178" s="60"/>
      <c r="Y178" s="59"/>
      <c r="Z178" s="59"/>
    </row>
    <row r="179" ht="15.75" customHeight="1">
      <c r="V179" s="59"/>
      <c r="W179" s="59"/>
      <c r="X179" s="60"/>
      <c r="Y179" s="59"/>
      <c r="Z179" s="59"/>
    </row>
    <row r="180" ht="15.75" customHeight="1">
      <c r="V180" s="59"/>
      <c r="W180" s="59"/>
      <c r="X180" s="60"/>
      <c r="Y180" s="59"/>
      <c r="Z180" s="59"/>
    </row>
    <row r="181" ht="15.75" customHeight="1">
      <c r="V181" s="59"/>
      <c r="W181" s="59"/>
      <c r="X181" s="60"/>
      <c r="Y181" s="59"/>
      <c r="Z181" s="59"/>
    </row>
    <row r="182" ht="15.75" customHeight="1">
      <c r="V182" s="59"/>
      <c r="W182" s="59"/>
      <c r="X182" s="60"/>
      <c r="Y182" s="59"/>
      <c r="Z182" s="59"/>
    </row>
    <row r="183" ht="15.75" customHeight="1">
      <c r="V183" s="59"/>
      <c r="W183" s="59"/>
      <c r="X183" s="60"/>
      <c r="Y183" s="59"/>
      <c r="Z183" s="59"/>
    </row>
    <row r="184" ht="15.75" customHeight="1">
      <c r="V184" s="59"/>
      <c r="W184" s="59"/>
      <c r="X184" s="60"/>
      <c r="Y184" s="59"/>
      <c r="Z184" s="59"/>
    </row>
    <row r="185" ht="15.75" customHeight="1">
      <c r="V185" s="59"/>
      <c r="W185" s="59"/>
      <c r="X185" s="60"/>
      <c r="Y185" s="59"/>
      <c r="Z185" s="59"/>
    </row>
    <row r="186" ht="15.75" customHeight="1">
      <c r="V186" s="59"/>
      <c r="W186" s="59"/>
      <c r="X186" s="60"/>
      <c r="Y186" s="59"/>
      <c r="Z186" s="59"/>
    </row>
    <row r="187" ht="15.75" customHeight="1">
      <c r="V187" s="59"/>
      <c r="W187" s="59"/>
      <c r="X187" s="60"/>
      <c r="Y187" s="59"/>
      <c r="Z187" s="59"/>
    </row>
    <row r="188" ht="15.75" customHeight="1">
      <c r="V188" s="59"/>
      <c r="W188" s="59"/>
      <c r="X188" s="60"/>
      <c r="Y188" s="59"/>
      <c r="Z188" s="59"/>
    </row>
    <row r="189" ht="15.75" customHeight="1">
      <c r="V189" s="59"/>
      <c r="W189" s="59"/>
      <c r="X189" s="60"/>
      <c r="Y189" s="59"/>
      <c r="Z189" s="59"/>
    </row>
    <row r="190" ht="15.75" customHeight="1">
      <c r="V190" s="59"/>
      <c r="W190" s="59"/>
      <c r="X190" s="60"/>
      <c r="Y190" s="59"/>
      <c r="Z190" s="59"/>
    </row>
    <row r="191" ht="15.75" customHeight="1">
      <c r="V191" s="59"/>
      <c r="W191" s="59"/>
      <c r="X191" s="60"/>
      <c r="Y191" s="59"/>
      <c r="Z191" s="59"/>
    </row>
    <row r="192" ht="15.75" customHeight="1">
      <c r="V192" s="59"/>
      <c r="W192" s="59"/>
      <c r="X192" s="60"/>
      <c r="Y192" s="59"/>
      <c r="Z192" s="59"/>
    </row>
    <row r="193" ht="15.75" customHeight="1">
      <c r="V193" s="59"/>
      <c r="W193" s="59"/>
      <c r="X193" s="60"/>
      <c r="Y193" s="59"/>
      <c r="Z193" s="59"/>
    </row>
    <row r="194" ht="15.75" customHeight="1">
      <c r="V194" s="59"/>
      <c r="W194" s="59"/>
      <c r="X194" s="60"/>
      <c r="Y194" s="59"/>
      <c r="Z194" s="59"/>
    </row>
    <row r="195" ht="15.75" customHeight="1">
      <c r="V195" s="59"/>
      <c r="W195" s="59"/>
      <c r="X195" s="60"/>
      <c r="Y195" s="59"/>
      <c r="Z195" s="59"/>
    </row>
    <row r="196" ht="15.75" customHeight="1">
      <c r="V196" s="59"/>
      <c r="W196" s="59"/>
      <c r="X196" s="60"/>
      <c r="Y196" s="59"/>
      <c r="Z196" s="59"/>
    </row>
    <row r="197" ht="15.75" customHeight="1">
      <c r="V197" s="59"/>
      <c r="W197" s="59"/>
      <c r="X197" s="60"/>
      <c r="Y197" s="59"/>
      <c r="Z197" s="59"/>
    </row>
    <row r="198" ht="15.75" customHeight="1">
      <c r="V198" s="59"/>
      <c r="W198" s="59"/>
      <c r="X198" s="60"/>
      <c r="Y198" s="59"/>
      <c r="Z198" s="59"/>
    </row>
    <row r="199" ht="15.75" customHeight="1">
      <c r="V199" s="59"/>
      <c r="W199" s="59"/>
      <c r="X199" s="60"/>
      <c r="Y199" s="59"/>
      <c r="Z199" s="59"/>
    </row>
    <row r="200" ht="15.75" customHeight="1">
      <c r="V200" s="59"/>
      <c r="W200" s="59"/>
      <c r="X200" s="60"/>
      <c r="Y200" s="59"/>
      <c r="Z200" s="59"/>
    </row>
    <row r="201" ht="15.75" customHeight="1">
      <c r="V201" s="59"/>
      <c r="W201" s="59"/>
      <c r="X201" s="60"/>
      <c r="Y201" s="59"/>
      <c r="Z201" s="59"/>
    </row>
    <row r="202" ht="15.75" customHeight="1">
      <c r="V202" s="59"/>
      <c r="W202" s="59"/>
      <c r="X202" s="60"/>
      <c r="Y202" s="59"/>
      <c r="Z202" s="59"/>
    </row>
    <row r="203" ht="15.75" customHeight="1">
      <c r="V203" s="59"/>
      <c r="W203" s="59"/>
      <c r="X203" s="60"/>
      <c r="Y203" s="59"/>
      <c r="Z203" s="59"/>
    </row>
    <row r="204" ht="15.75" customHeight="1">
      <c r="V204" s="59"/>
      <c r="W204" s="59"/>
      <c r="X204" s="60"/>
      <c r="Y204" s="59"/>
      <c r="Z204" s="59"/>
    </row>
    <row r="205" ht="15.75" customHeight="1">
      <c r="V205" s="59"/>
      <c r="W205" s="59"/>
      <c r="X205" s="60"/>
      <c r="Y205" s="59"/>
      <c r="Z205" s="59"/>
    </row>
    <row r="206" ht="15.75" customHeight="1">
      <c r="V206" s="59"/>
      <c r="W206" s="59"/>
      <c r="X206" s="60"/>
      <c r="Y206" s="59"/>
      <c r="Z206" s="59"/>
    </row>
    <row r="207" ht="15.75" customHeight="1">
      <c r="V207" s="59"/>
      <c r="W207" s="59"/>
      <c r="X207" s="60"/>
      <c r="Y207" s="59"/>
      <c r="Z207" s="59"/>
    </row>
    <row r="208" ht="15.75" customHeight="1">
      <c r="V208" s="59"/>
      <c r="W208" s="59"/>
      <c r="X208" s="60"/>
      <c r="Y208" s="59"/>
      <c r="Z208" s="59"/>
    </row>
    <row r="209" ht="15.75" customHeight="1">
      <c r="V209" s="59"/>
      <c r="W209" s="59"/>
      <c r="X209" s="60"/>
      <c r="Y209" s="59"/>
      <c r="Z209" s="59"/>
    </row>
    <row r="210" ht="15.75" customHeight="1">
      <c r="V210" s="59"/>
      <c r="W210" s="59"/>
      <c r="X210" s="60"/>
      <c r="Y210" s="59"/>
      <c r="Z210" s="59"/>
    </row>
    <row r="211" ht="15.75" customHeight="1">
      <c r="V211" s="59"/>
      <c r="W211" s="59"/>
      <c r="X211" s="60"/>
      <c r="Y211" s="59"/>
      <c r="Z211" s="59"/>
    </row>
    <row r="212" ht="15.75" customHeight="1">
      <c r="V212" s="59"/>
      <c r="W212" s="59"/>
      <c r="X212" s="60"/>
      <c r="Y212" s="59"/>
      <c r="Z212" s="59"/>
    </row>
    <row r="213" ht="15.75" customHeight="1">
      <c r="V213" s="59"/>
      <c r="W213" s="59"/>
      <c r="X213" s="60"/>
      <c r="Y213" s="59"/>
      <c r="Z213" s="59"/>
    </row>
    <row r="214" ht="15.75" customHeight="1">
      <c r="V214" s="59"/>
      <c r="W214" s="59"/>
      <c r="X214" s="60"/>
      <c r="Y214" s="59"/>
      <c r="Z214" s="59"/>
    </row>
    <row r="215" ht="15.75" customHeight="1">
      <c r="V215" s="59"/>
      <c r="W215" s="59"/>
      <c r="X215" s="60"/>
      <c r="Y215" s="59"/>
      <c r="Z215" s="59"/>
    </row>
    <row r="216" ht="15.75" customHeight="1">
      <c r="V216" s="59"/>
      <c r="W216" s="59"/>
      <c r="X216" s="60"/>
      <c r="Y216" s="59"/>
      <c r="Z216" s="59"/>
    </row>
    <row r="217" ht="15.75" customHeight="1">
      <c r="V217" s="59"/>
      <c r="W217" s="59"/>
      <c r="X217" s="60"/>
      <c r="Y217" s="59"/>
      <c r="Z217" s="59"/>
    </row>
    <row r="218" ht="15.75" customHeight="1">
      <c r="V218" s="59"/>
      <c r="W218" s="59"/>
      <c r="X218" s="60"/>
      <c r="Y218" s="59"/>
      <c r="Z218" s="59"/>
    </row>
    <row r="219" ht="15.75" customHeight="1">
      <c r="V219" s="59"/>
      <c r="W219" s="59"/>
      <c r="X219" s="60"/>
      <c r="Y219" s="59"/>
      <c r="Z219" s="59"/>
    </row>
    <row r="220" ht="15.75" customHeight="1">
      <c r="V220" s="59"/>
      <c r="W220" s="59"/>
      <c r="X220" s="60"/>
      <c r="Y220" s="59"/>
      <c r="Z220" s="59"/>
    </row>
    <row r="221" ht="15.75" customHeight="1">
      <c r="V221" s="59"/>
      <c r="W221" s="59"/>
      <c r="X221" s="60"/>
      <c r="Y221" s="59"/>
      <c r="Z221" s="59"/>
    </row>
    <row r="222" ht="15.75" customHeight="1">
      <c r="V222" s="59"/>
      <c r="W222" s="59"/>
      <c r="X222" s="60"/>
      <c r="Y222" s="59"/>
      <c r="Z222" s="59"/>
    </row>
    <row r="223" ht="15.75" customHeight="1">
      <c r="V223" s="59"/>
      <c r="W223" s="59"/>
      <c r="X223" s="60"/>
      <c r="Y223" s="59"/>
      <c r="Z223" s="59"/>
    </row>
    <row r="224" ht="15.75" customHeight="1">
      <c r="V224" s="59"/>
      <c r="W224" s="59"/>
      <c r="X224" s="60"/>
      <c r="Y224" s="59"/>
      <c r="Z224" s="59"/>
    </row>
    <row r="225" ht="15.75" customHeight="1">
      <c r="V225" s="59"/>
      <c r="W225" s="59"/>
      <c r="X225" s="60"/>
      <c r="Y225" s="59"/>
      <c r="Z225" s="59"/>
    </row>
    <row r="226" ht="15.75" customHeight="1">
      <c r="V226" s="59"/>
      <c r="W226" s="59"/>
      <c r="X226" s="60"/>
      <c r="Y226" s="59"/>
      <c r="Z226" s="59"/>
    </row>
    <row r="227" ht="15.75" customHeight="1">
      <c r="V227" s="59"/>
      <c r="W227" s="59"/>
      <c r="X227" s="60"/>
      <c r="Y227" s="59"/>
      <c r="Z227" s="59"/>
    </row>
    <row r="228" ht="15.75" customHeight="1">
      <c r="V228" s="59"/>
      <c r="W228" s="59"/>
      <c r="X228" s="60"/>
      <c r="Y228" s="59"/>
      <c r="Z228" s="59"/>
    </row>
    <row r="229" ht="15.75" customHeight="1">
      <c r="V229" s="59"/>
      <c r="W229" s="59"/>
      <c r="X229" s="60"/>
      <c r="Y229" s="59"/>
      <c r="Z229" s="59"/>
    </row>
    <row r="230" ht="15.75" customHeight="1">
      <c r="V230" s="59"/>
      <c r="W230" s="59"/>
      <c r="X230" s="60"/>
      <c r="Y230" s="59"/>
      <c r="Z230" s="59"/>
    </row>
    <row r="231" ht="15.75" customHeight="1">
      <c r="V231" s="59"/>
      <c r="W231" s="59"/>
      <c r="X231" s="60"/>
      <c r="Y231" s="59"/>
      <c r="Z231" s="59"/>
    </row>
    <row r="232" ht="15.75" customHeight="1">
      <c r="V232" s="59"/>
      <c r="W232" s="59"/>
      <c r="X232" s="60"/>
      <c r="Y232" s="59"/>
      <c r="Z232" s="59"/>
    </row>
    <row r="233" ht="15.75" customHeight="1">
      <c r="V233" s="59"/>
      <c r="W233" s="59"/>
      <c r="X233" s="60"/>
      <c r="Y233" s="59"/>
      <c r="Z233" s="59"/>
    </row>
    <row r="234" ht="15.75" customHeight="1">
      <c r="V234" s="59"/>
      <c r="W234" s="59"/>
      <c r="X234" s="60"/>
      <c r="Y234" s="59"/>
      <c r="Z234" s="59"/>
    </row>
    <row r="235" ht="15.75" customHeight="1">
      <c r="V235" s="59"/>
      <c r="W235" s="59"/>
      <c r="X235" s="60"/>
      <c r="Y235" s="59"/>
      <c r="Z235" s="59"/>
    </row>
    <row r="236" ht="15.75" customHeight="1">
      <c r="V236" s="59"/>
      <c r="W236" s="59"/>
      <c r="X236" s="60"/>
      <c r="Y236" s="59"/>
      <c r="Z236" s="59"/>
    </row>
    <row r="237" ht="15.75" customHeight="1">
      <c r="V237" s="59"/>
      <c r="W237" s="59"/>
      <c r="X237" s="60"/>
      <c r="Y237" s="59"/>
      <c r="Z237" s="59"/>
    </row>
    <row r="238" ht="15.75" customHeight="1">
      <c r="V238" s="59"/>
      <c r="W238" s="59"/>
      <c r="X238" s="60"/>
      <c r="Y238" s="59"/>
      <c r="Z238" s="59"/>
    </row>
    <row r="239" ht="15.75" customHeight="1">
      <c r="V239" s="59"/>
      <c r="W239" s="59"/>
      <c r="X239" s="60"/>
      <c r="Y239" s="59"/>
      <c r="Z239" s="59"/>
    </row>
    <row r="240" ht="15.75" customHeight="1">
      <c r="V240" s="59"/>
      <c r="W240" s="59"/>
      <c r="X240" s="60"/>
      <c r="Y240" s="59"/>
      <c r="Z240" s="59"/>
    </row>
    <row r="241" ht="15.75" customHeight="1">
      <c r="V241" s="59"/>
      <c r="W241" s="59"/>
      <c r="X241" s="60"/>
      <c r="Y241" s="59"/>
      <c r="Z241" s="59"/>
    </row>
    <row r="242" ht="15.75" customHeight="1">
      <c r="V242" s="59"/>
      <c r="W242" s="59"/>
      <c r="X242" s="60"/>
      <c r="Y242" s="59"/>
      <c r="Z242" s="59"/>
    </row>
    <row r="243" ht="15.75" customHeight="1">
      <c r="V243" s="59"/>
      <c r="W243" s="59"/>
      <c r="X243" s="60"/>
      <c r="Y243" s="59"/>
      <c r="Z243" s="59"/>
    </row>
    <row r="244" ht="15.75" customHeight="1">
      <c r="V244" s="59"/>
      <c r="W244" s="59"/>
      <c r="X244" s="60"/>
      <c r="Y244" s="59"/>
      <c r="Z244" s="59"/>
    </row>
    <row r="245" ht="15.75" customHeight="1">
      <c r="V245" s="59"/>
      <c r="W245" s="59"/>
      <c r="X245" s="60"/>
      <c r="Y245" s="59"/>
      <c r="Z245" s="59"/>
    </row>
    <row r="246" ht="15.75" customHeight="1">
      <c r="V246" s="59"/>
      <c r="W246" s="59"/>
      <c r="X246" s="60"/>
      <c r="Y246" s="59"/>
      <c r="Z246" s="59"/>
    </row>
    <row r="247" ht="15.75" customHeight="1">
      <c r="V247" s="59"/>
      <c r="W247" s="59"/>
      <c r="X247" s="60"/>
      <c r="Y247" s="59"/>
      <c r="Z247" s="59"/>
    </row>
    <row r="248" ht="15.75" customHeight="1">
      <c r="V248" s="59"/>
      <c r="W248" s="59"/>
      <c r="X248" s="60"/>
      <c r="Y248" s="59"/>
      <c r="Z248" s="59"/>
    </row>
    <row r="249" ht="15.75" customHeight="1">
      <c r="V249" s="59"/>
      <c r="W249" s="59"/>
      <c r="X249" s="60"/>
      <c r="Y249" s="59"/>
      <c r="Z249" s="59"/>
    </row>
    <row r="250" ht="15.75" customHeight="1">
      <c r="V250" s="59"/>
      <c r="W250" s="59"/>
      <c r="X250" s="60"/>
      <c r="Y250" s="59"/>
      <c r="Z250" s="59"/>
    </row>
    <row r="251" ht="15.75" customHeight="1">
      <c r="V251" s="59"/>
      <c r="W251" s="59"/>
      <c r="X251" s="60"/>
      <c r="Y251" s="59"/>
      <c r="Z251" s="59"/>
    </row>
    <row r="252" ht="15.75" customHeight="1">
      <c r="V252" s="59"/>
      <c r="W252" s="59"/>
      <c r="X252" s="60"/>
      <c r="Y252" s="59"/>
      <c r="Z252" s="59"/>
    </row>
    <row r="253" ht="15.75" customHeight="1">
      <c r="V253" s="59"/>
      <c r="W253" s="59"/>
      <c r="X253" s="60"/>
      <c r="Y253" s="59"/>
      <c r="Z253" s="59"/>
    </row>
    <row r="254" ht="15.75" customHeight="1">
      <c r="V254" s="59"/>
      <c r="W254" s="59"/>
      <c r="X254" s="60"/>
      <c r="Y254" s="59"/>
      <c r="Z254" s="59"/>
    </row>
    <row r="255" ht="15.75" customHeight="1">
      <c r="V255" s="59"/>
      <c r="W255" s="59"/>
      <c r="X255" s="60"/>
      <c r="Y255" s="59"/>
      <c r="Z255" s="59"/>
    </row>
    <row r="256" ht="15.75" customHeight="1">
      <c r="V256" s="59"/>
      <c r="W256" s="59"/>
      <c r="X256" s="60"/>
      <c r="Y256" s="59"/>
      <c r="Z256" s="59"/>
    </row>
    <row r="257" ht="15.75" customHeight="1">
      <c r="V257" s="59"/>
      <c r="W257" s="59"/>
      <c r="X257" s="60"/>
      <c r="Y257" s="59"/>
      <c r="Z257" s="59"/>
    </row>
    <row r="258" ht="15.75" customHeight="1">
      <c r="V258" s="59"/>
      <c r="W258" s="59"/>
      <c r="X258" s="60"/>
      <c r="Y258" s="59"/>
      <c r="Z258" s="59"/>
    </row>
    <row r="259" ht="15.75" customHeight="1">
      <c r="V259" s="59"/>
      <c r="W259" s="59"/>
      <c r="X259" s="60"/>
      <c r="Y259" s="59"/>
      <c r="Z259" s="59"/>
    </row>
    <row r="260" ht="15.75" customHeight="1">
      <c r="V260" s="59"/>
      <c r="W260" s="59"/>
      <c r="X260" s="60"/>
      <c r="Y260" s="59"/>
      <c r="Z260" s="59"/>
    </row>
    <row r="261" ht="15.75" customHeight="1">
      <c r="V261" s="59"/>
      <c r="W261" s="59"/>
      <c r="X261" s="60"/>
      <c r="Y261" s="59"/>
      <c r="Z261" s="59"/>
    </row>
    <row r="262" ht="15.75" customHeight="1">
      <c r="V262" s="59"/>
      <c r="W262" s="59"/>
      <c r="X262" s="60"/>
      <c r="Y262" s="59"/>
      <c r="Z262" s="59"/>
    </row>
    <row r="263" ht="15.75" customHeight="1">
      <c r="V263" s="59"/>
      <c r="W263" s="59"/>
      <c r="X263" s="60"/>
      <c r="Y263" s="59"/>
      <c r="Z263" s="59"/>
    </row>
    <row r="264" ht="15.75" customHeight="1">
      <c r="V264" s="59"/>
      <c r="W264" s="59"/>
      <c r="X264" s="60"/>
      <c r="Y264" s="59"/>
      <c r="Z264" s="59"/>
    </row>
    <row r="265" ht="15.75" customHeight="1">
      <c r="V265" s="59"/>
      <c r="W265" s="59"/>
      <c r="X265" s="60"/>
      <c r="Y265" s="59"/>
      <c r="Z265" s="59"/>
    </row>
    <row r="266" ht="15.75" customHeight="1">
      <c r="V266" s="59"/>
      <c r="W266" s="59"/>
      <c r="X266" s="60"/>
      <c r="Y266" s="59"/>
      <c r="Z266" s="59"/>
    </row>
    <row r="267" ht="15.75" customHeight="1">
      <c r="V267" s="59"/>
      <c r="W267" s="59"/>
      <c r="X267" s="60"/>
      <c r="Y267" s="59"/>
      <c r="Z267" s="59"/>
    </row>
    <row r="268" ht="15.75" customHeight="1">
      <c r="V268" s="59"/>
      <c r="W268" s="59"/>
      <c r="X268" s="60"/>
      <c r="Y268" s="59"/>
      <c r="Z268" s="59"/>
    </row>
    <row r="269" ht="15.75" customHeight="1">
      <c r="V269" s="59"/>
      <c r="W269" s="59"/>
      <c r="X269" s="60"/>
      <c r="Y269" s="59"/>
      <c r="Z269" s="59"/>
    </row>
    <row r="270" ht="15.75" customHeight="1">
      <c r="V270" s="59"/>
      <c r="W270" s="59"/>
      <c r="X270" s="60"/>
      <c r="Y270" s="59"/>
      <c r="Z270" s="59"/>
    </row>
    <row r="271" ht="15.75" customHeight="1">
      <c r="V271" s="59"/>
      <c r="W271" s="59"/>
      <c r="X271" s="60"/>
      <c r="Y271" s="59"/>
      <c r="Z271" s="59"/>
    </row>
    <row r="272" ht="15.75" customHeight="1">
      <c r="V272" s="59"/>
      <c r="W272" s="59"/>
      <c r="X272" s="60"/>
      <c r="Y272" s="59"/>
      <c r="Z272" s="59"/>
    </row>
    <row r="273" ht="15.75" customHeight="1">
      <c r="V273" s="59"/>
      <c r="W273" s="59"/>
      <c r="X273" s="60"/>
      <c r="Y273" s="59"/>
      <c r="Z273" s="59"/>
    </row>
    <row r="274" ht="15.75" customHeight="1">
      <c r="V274" s="59"/>
      <c r="W274" s="59"/>
      <c r="X274" s="60"/>
      <c r="Y274" s="59"/>
      <c r="Z274" s="59"/>
    </row>
    <row r="275" ht="15.75" customHeight="1">
      <c r="V275" s="59"/>
      <c r="W275" s="59"/>
      <c r="X275" s="60"/>
      <c r="Y275" s="59"/>
      <c r="Z275" s="59"/>
    </row>
    <row r="276" ht="15.75" customHeight="1">
      <c r="V276" s="59"/>
      <c r="W276" s="59"/>
      <c r="X276" s="60"/>
      <c r="Y276" s="59"/>
      <c r="Z276" s="59"/>
    </row>
    <row r="277" ht="15.75" customHeight="1">
      <c r="V277" s="59"/>
      <c r="W277" s="59"/>
      <c r="X277" s="60"/>
      <c r="Y277" s="59"/>
      <c r="Z277" s="59"/>
    </row>
    <row r="278" ht="15.75" customHeight="1">
      <c r="V278" s="59"/>
      <c r="W278" s="59"/>
      <c r="X278" s="60"/>
      <c r="Y278" s="59"/>
      <c r="Z278" s="59"/>
    </row>
    <row r="279" ht="15.75" customHeight="1">
      <c r="V279" s="59"/>
      <c r="W279" s="59"/>
      <c r="X279" s="60"/>
      <c r="Y279" s="59"/>
      <c r="Z279" s="59"/>
    </row>
    <row r="280" ht="15.75" customHeight="1">
      <c r="V280" s="59"/>
      <c r="W280" s="59"/>
      <c r="X280" s="60"/>
      <c r="Y280" s="59"/>
      <c r="Z280" s="59"/>
    </row>
    <row r="281" ht="15.75" customHeight="1">
      <c r="V281" s="59"/>
      <c r="W281" s="59"/>
      <c r="X281" s="60"/>
      <c r="Y281" s="59"/>
      <c r="Z281" s="59"/>
    </row>
    <row r="282" ht="15.75" customHeight="1">
      <c r="V282" s="59"/>
      <c r="W282" s="59"/>
      <c r="X282" s="60"/>
      <c r="Y282" s="59"/>
      <c r="Z282" s="59"/>
    </row>
    <row r="283" ht="15.75" customHeight="1">
      <c r="V283" s="59"/>
      <c r="W283" s="59"/>
      <c r="X283" s="60"/>
      <c r="Y283" s="59"/>
      <c r="Z283" s="59"/>
    </row>
    <row r="284" ht="15.75" customHeight="1">
      <c r="V284" s="59"/>
      <c r="W284" s="59"/>
      <c r="X284" s="60"/>
      <c r="Y284" s="59"/>
      <c r="Z284" s="59"/>
    </row>
    <row r="285" ht="15.75" customHeight="1">
      <c r="V285" s="59"/>
      <c r="W285" s="59"/>
      <c r="X285" s="60"/>
      <c r="Y285" s="59"/>
      <c r="Z285" s="59"/>
    </row>
    <row r="286" ht="15.75" customHeight="1">
      <c r="V286" s="59"/>
      <c r="W286" s="59"/>
      <c r="X286" s="60"/>
      <c r="Y286" s="59"/>
      <c r="Z286" s="59"/>
    </row>
    <row r="287" ht="15.75" customHeight="1">
      <c r="V287" s="59"/>
      <c r="W287" s="59"/>
      <c r="X287" s="60"/>
      <c r="Y287" s="59"/>
      <c r="Z287" s="59"/>
    </row>
    <row r="288" ht="15.75" customHeight="1">
      <c r="V288" s="59"/>
      <c r="W288" s="59"/>
      <c r="X288" s="60"/>
      <c r="Y288" s="59"/>
      <c r="Z288" s="59"/>
    </row>
    <row r="289" ht="15.75" customHeight="1">
      <c r="V289" s="59"/>
      <c r="W289" s="59"/>
      <c r="X289" s="60"/>
      <c r="Y289" s="59"/>
      <c r="Z289" s="59"/>
    </row>
    <row r="290" ht="15.75" customHeight="1">
      <c r="V290" s="59"/>
      <c r="W290" s="59"/>
      <c r="X290" s="60"/>
      <c r="Y290" s="59"/>
      <c r="Z290" s="59"/>
    </row>
    <row r="291" ht="15.75" customHeight="1">
      <c r="V291" s="59"/>
      <c r="W291" s="59"/>
      <c r="X291" s="60"/>
      <c r="Y291" s="59"/>
      <c r="Z291" s="59"/>
    </row>
    <row r="292" ht="15.75" customHeight="1">
      <c r="V292" s="59"/>
      <c r="W292" s="59"/>
      <c r="X292" s="60"/>
      <c r="Y292" s="59"/>
      <c r="Z292" s="59"/>
    </row>
    <row r="293" ht="15.75" customHeight="1">
      <c r="V293" s="59"/>
      <c r="W293" s="59"/>
      <c r="X293" s="60"/>
      <c r="Y293" s="59"/>
      <c r="Z293" s="59"/>
    </row>
    <row r="294" ht="15.75" customHeight="1">
      <c r="V294" s="59"/>
      <c r="W294" s="59"/>
      <c r="X294" s="60"/>
      <c r="Y294" s="59"/>
      <c r="Z294" s="59"/>
    </row>
    <row r="295" ht="15.75" customHeight="1">
      <c r="V295" s="59"/>
      <c r="W295" s="59"/>
      <c r="X295" s="60"/>
      <c r="Y295" s="59"/>
      <c r="Z295" s="59"/>
    </row>
    <row r="296" ht="15.75" customHeight="1">
      <c r="V296" s="59"/>
      <c r="W296" s="59"/>
      <c r="X296" s="60"/>
      <c r="Y296" s="59"/>
      <c r="Z296" s="59"/>
    </row>
    <row r="297" ht="15.75" customHeight="1">
      <c r="V297" s="59"/>
      <c r="W297" s="59"/>
      <c r="X297" s="60"/>
      <c r="Y297" s="59"/>
      <c r="Z297" s="59"/>
    </row>
    <row r="298" ht="15.75" customHeight="1">
      <c r="V298" s="59"/>
      <c r="W298" s="59"/>
      <c r="X298" s="60"/>
      <c r="Y298" s="59"/>
      <c r="Z298" s="59"/>
    </row>
    <row r="299" ht="15.75" customHeight="1">
      <c r="V299" s="59"/>
      <c r="W299" s="59"/>
      <c r="X299" s="60"/>
      <c r="Y299" s="59"/>
      <c r="Z299" s="59"/>
    </row>
    <row r="300" ht="15.75" customHeight="1">
      <c r="V300" s="59"/>
      <c r="W300" s="59"/>
      <c r="X300" s="60"/>
      <c r="Y300" s="59"/>
      <c r="Z300" s="59"/>
    </row>
    <row r="301" ht="15.75" customHeight="1">
      <c r="V301" s="59"/>
      <c r="W301" s="59"/>
      <c r="X301" s="60"/>
      <c r="Y301" s="59"/>
      <c r="Z301" s="59"/>
    </row>
    <row r="302" ht="15.75" customHeight="1">
      <c r="V302" s="59"/>
      <c r="W302" s="59"/>
      <c r="X302" s="60"/>
      <c r="Y302" s="59"/>
      <c r="Z302" s="59"/>
    </row>
    <row r="303" ht="15.75" customHeight="1">
      <c r="V303" s="59"/>
      <c r="W303" s="59"/>
      <c r="X303" s="60"/>
      <c r="Y303" s="59"/>
      <c r="Z303" s="59"/>
    </row>
    <row r="304" ht="15.75" customHeight="1">
      <c r="V304" s="59"/>
      <c r="W304" s="59"/>
      <c r="X304" s="60"/>
      <c r="Y304" s="59"/>
      <c r="Z304" s="59"/>
    </row>
    <row r="305" ht="15.75" customHeight="1">
      <c r="V305" s="59"/>
      <c r="W305" s="59"/>
      <c r="X305" s="60"/>
      <c r="Y305" s="59"/>
      <c r="Z305" s="59"/>
    </row>
    <row r="306" ht="15.75" customHeight="1">
      <c r="V306" s="59"/>
      <c r="W306" s="59"/>
      <c r="X306" s="60"/>
      <c r="Y306" s="59"/>
      <c r="Z306" s="59"/>
    </row>
    <row r="307" ht="15.75" customHeight="1">
      <c r="V307" s="59"/>
      <c r="W307" s="59"/>
      <c r="X307" s="60"/>
      <c r="Y307" s="59"/>
      <c r="Z307" s="59"/>
    </row>
    <row r="308" ht="15.75" customHeight="1">
      <c r="V308" s="59"/>
      <c r="W308" s="59"/>
      <c r="X308" s="60"/>
      <c r="Y308" s="59"/>
      <c r="Z308" s="59"/>
    </row>
    <row r="309" ht="15.75" customHeight="1">
      <c r="V309" s="59"/>
      <c r="W309" s="59"/>
      <c r="X309" s="60"/>
      <c r="Y309" s="59"/>
      <c r="Z309" s="59"/>
    </row>
    <row r="310" ht="15.75" customHeight="1">
      <c r="V310" s="59"/>
      <c r="W310" s="59"/>
      <c r="X310" s="60"/>
      <c r="Y310" s="59"/>
      <c r="Z310" s="59"/>
    </row>
    <row r="311" ht="15.75" customHeight="1">
      <c r="V311" s="59"/>
      <c r="W311" s="59"/>
      <c r="X311" s="60"/>
      <c r="Y311" s="59"/>
      <c r="Z311" s="59"/>
    </row>
    <row r="312" ht="15.75" customHeight="1">
      <c r="V312" s="59"/>
      <c r="W312" s="59"/>
      <c r="X312" s="60"/>
      <c r="Y312" s="59"/>
      <c r="Z312" s="59"/>
    </row>
    <row r="313" ht="15.75" customHeight="1">
      <c r="V313" s="59"/>
      <c r="W313" s="59"/>
      <c r="X313" s="60"/>
      <c r="Y313" s="59"/>
      <c r="Z313" s="59"/>
    </row>
    <row r="314" ht="15.75" customHeight="1">
      <c r="V314" s="59"/>
      <c r="W314" s="59"/>
      <c r="X314" s="60"/>
      <c r="Y314" s="59"/>
      <c r="Z314" s="59"/>
    </row>
    <row r="315" ht="15.75" customHeight="1">
      <c r="V315" s="59"/>
      <c r="W315" s="59"/>
      <c r="X315" s="60"/>
      <c r="Y315" s="59"/>
      <c r="Z315" s="59"/>
    </row>
    <row r="316" ht="15.75" customHeight="1">
      <c r="V316" s="59"/>
      <c r="W316" s="59"/>
      <c r="X316" s="60"/>
      <c r="Y316" s="59"/>
      <c r="Z316" s="59"/>
    </row>
    <row r="317" ht="15.75" customHeight="1">
      <c r="V317" s="59"/>
      <c r="W317" s="59"/>
      <c r="X317" s="60"/>
      <c r="Y317" s="59"/>
      <c r="Z317" s="59"/>
    </row>
    <row r="318" ht="15.75" customHeight="1">
      <c r="V318" s="59"/>
      <c r="W318" s="59"/>
      <c r="X318" s="60"/>
      <c r="Y318" s="59"/>
      <c r="Z318" s="59"/>
    </row>
    <row r="319" ht="15.75" customHeight="1">
      <c r="V319" s="59"/>
      <c r="W319" s="59"/>
      <c r="X319" s="60"/>
      <c r="Y319" s="59"/>
      <c r="Z319" s="59"/>
    </row>
    <row r="320" ht="15.75" customHeight="1">
      <c r="V320" s="59"/>
      <c r="W320" s="59"/>
      <c r="X320" s="60"/>
      <c r="Y320" s="59"/>
      <c r="Z320" s="59"/>
    </row>
    <row r="321" ht="15.75" customHeight="1">
      <c r="V321" s="59"/>
      <c r="W321" s="59"/>
      <c r="X321" s="60"/>
      <c r="Y321" s="59"/>
      <c r="Z321" s="59"/>
    </row>
    <row r="322" ht="15.75" customHeight="1">
      <c r="V322" s="59"/>
      <c r="W322" s="59"/>
      <c r="X322" s="60"/>
      <c r="Y322" s="59"/>
      <c r="Z322" s="59"/>
    </row>
    <row r="323" ht="15.75" customHeight="1">
      <c r="V323" s="59"/>
      <c r="W323" s="59"/>
      <c r="X323" s="60"/>
      <c r="Y323" s="59"/>
      <c r="Z323" s="59"/>
    </row>
    <row r="324" ht="15.75" customHeight="1">
      <c r="V324" s="59"/>
      <c r="W324" s="59"/>
      <c r="X324" s="60"/>
      <c r="Y324" s="59"/>
      <c r="Z324" s="59"/>
    </row>
    <row r="325" ht="15.75" customHeight="1">
      <c r="V325" s="59"/>
      <c r="W325" s="59"/>
      <c r="X325" s="60"/>
      <c r="Y325" s="59"/>
      <c r="Z325" s="59"/>
    </row>
    <row r="326" ht="15.75" customHeight="1">
      <c r="V326" s="59"/>
      <c r="W326" s="59"/>
      <c r="X326" s="60"/>
      <c r="Y326" s="59"/>
      <c r="Z326" s="59"/>
    </row>
    <row r="327" ht="15.75" customHeight="1">
      <c r="V327" s="59"/>
      <c r="W327" s="59"/>
      <c r="X327" s="60"/>
      <c r="Y327" s="59"/>
      <c r="Z327" s="59"/>
    </row>
    <row r="328" ht="15.75" customHeight="1">
      <c r="V328" s="59"/>
      <c r="W328" s="59"/>
      <c r="X328" s="60"/>
      <c r="Y328" s="59"/>
      <c r="Z328" s="59"/>
    </row>
    <row r="329" ht="15.75" customHeight="1">
      <c r="V329" s="59"/>
      <c r="W329" s="59"/>
      <c r="X329" s="60"/>
      <c r="Y329" s="59"/>
      <c r="Z329" s="59"/>
    </row>
    <row r="330" ht="15.75" customHeight="1">
      <c r="V330" s="59"/>
      <c r="W330" s="59"/>
      <c r="X330" s="60"/>
      <c r="Y330" s="59"/>
      <c r="Z330" s="59"/>
    </row>
    <row r="331" ht="15.75" customHeight="1">
      <c r="V331" s="59"/>
      <c r="W331" s="59"/>
      <c r="X331" s="60"/>
      <c r="Y331" s="59"/>
      <c r="Z331" s="59"/>
    </row>
    <row r="332" ht="15.75" customHeight="1">
      <c r="V332" s="59"/>
      <c r="W332" s="59"/>
      <c r="X332" s="60"/>
      <c r="Y332" s="59"/>
      <c r="Z332" s="59"/>
    </row>
    <row r="333" ht="15.75" customHeight="1">
      <c r="V333" s="59"/>
      <c r="W333" s="59"/>
      <c r="X333" s="60"/>
      <c r="Y333" s="59"/>
      <c r="Z333" s="59"/>
    </row>
    <row r="334" ht="15.75" customHeight="1">
      <c r="V334" s="59"/>
      <c r="W334" s="59"/>
      <c r="X334" s="60"/>
      <c r="Y334" s="59"/>
      <c r="Z334" s="59"/>
    </row>
    <row r="335" ht="15.75" customHeight="1">
      <c r="V335" s="59"/>
      <c r="W335" s="59"/>
      <c r="X335" s="60"/>
      <c r="Y335" s="59"/>
      <c r="Z335" s="59"/>
    </row>
    <row r="336" ht="15.75" customHeight="1">
      <c r="V336" s="59"/>
      <c r="W336" s="59"/>
      <c r="X336" s="60"/>
      <c r="Y336" s="59"/>
      <c r="Z336" s="59"/>
    </row>
    <row r="337" ht="15.75" customHeight="1">
      <c r="V337" s="59"/>
      <c r="W337" s="59"/>
      <c r="X337" s="60"/>
      <c r="Y337" s="59"/>
      <c r="Z337" s="59"/>
    </row>
    <row r="338" ht="15.75" customHeight="1">
      <c r="V338" s="59"/>
      <c r="W338" s="59"/>
      <c r="X338" s="60"/>
      <c r="Y338" s="59"/>
      <c r="Z338" s="59"/>
    </row>
    <row r="339" ht="15.75" customHeight="1">
      <c r="V339" s="59"/>
      <c r="W339" s="59"/>
      <c r="X339" s="60"/>
      <c r="Y339" s="59"/>
      <c r="Z339" s="59"/>
    </row>
    <row r="340" ht="15.75" customHeight="1">
      <c r="V340" s="59"/>
      <c r="W340" s="59"/>
      <c r="X340" s="60"/>
      <c r="Y340" s="59"/>
      <c r="Z340" s="59"/>
    </row>
    <row r="341" ht="15.75" customHeight="1">
      <c r="V341" s="59"/>
      <c r="W341" s="59"/>
      <c r="X341" s="60"/>
      <c r="Y341" s="59"/>
      <c r="Z341" s="59"/>
    </row>
    <row r="342" ht="15.75" customHeight="1">
      <c r="V342" s="59"/>
      <c r="W342" s="59"/>
      <c r="X342" s="60"/>
      <c r="Y342" s="59"/>
      <c r="Z342" s="59"/>
    </row>
    <row r="343" ht="15.75" customHeight="1">
      <c r="V343" s="59"/>
      <c r="W343" s="59"/>
      <c r="X343" s="60"/>
      <c r="Y343" s="59"/>
      <c r="Z343" s="59"/>
    </row>
    <row r="344" ht="15.75" customHeight="1">
      <c r="V344" s="59"/>
      <c r="W344" s="59"/>
      <c r="X344" s="60"/>
      <c r="Y344" s="59"/>
      <c r="Z344" s="59"/>
    </row>
    <row r="345" ht="15.75" customHeight="1">
      <c r="V345" s="59"/>
      <c r="W345" s="59"/>
      <c r="X345" s="60"/>
      <c r="Y345" s="59"/>
      <c r="Z345" s="59"/>
    </row>
    <row r="346" ht="15.75" customHeight="1">
      <c r="V346" s="59"/>
      <c r="W346" s="59"/>
      <c r="X346" s="60"/>
      <c r="Y346" s="59"/>
      <c r="Z346" s="59"/>
    </row>
    <row r="347" ht="15.75" customHeight="1">
      <c r="V347" s="59"/>
      <c r="W347" s="59"/>
      <c r="X347" s="60"/>
      <c r="Y347" s="59"/>
      <c r="Z347" s="59"/>
    </row>
    <row r="348" ht="15.75" customHeight="1">
      <c r="V348" s="59"/>
      <c r="W348" s="59"/>
      <c r="X348" s="60"/>
      <c r="Y348" s="59"/>
      <c r="Z348" s="59"/>
    </row>
    <row r="349" ht="15.75" customHeight="1">
      <c r="V349" s="59"/>
      <c r="W349" s="59"/>
      <c r="X349" s="60"/>
      <c r="Y349" s="59"/>
      <c r="Z349" s="59"/>
    </row>
    <row r="350" ht="15.75" customHeight="1">
      <c r="V350" s="59"/>
      <c r="W350" s="59"/>
      <c r="X350" s="60"/>
      <c r="Y350" s="59"/>
      <c r="Z350" s="59"/>
    </row>
    <row r="351" ht="15.75" customHeight="1">
      <c r="V351" s="59"/>
      <c r="W351" s="59"/>
      <c r="X351" s="60"/>
      <c r="Y351" s="59"/>
      <c r="Z351" s="59"/>
    </row>
    <row r="352" ht="15.75" customHeight="1">
      <c r="V352" s="59"/>
      <c r="W352" s="59"/>
      <c r="X352" s="60"/>
      <c r="Y352" s="59"/>
      <c r="Z352" s="59"/>
    </row>
    <row r="353" ht="15.75" customHeight="1">
      <c r="V353" s="59"/>
      <c r="W353" s="59"/>
      <c r="X353" s="60"/>
      <c r="Y353" s="59"/>
      <c r="Z353" s="59"/>
    </row>
    <row r="354" ht="15.75" customHeight="1">
      <c r="V354" s="59"/>
      <c r="W354" s="59"/>
      <c r="X354" s="60"/>
      <c r="Y354" s="59"/>
      <c r="Z354" s="59"/>
    </row>
    <row r="355" ht="15.75" customHeight="1">
      <c r="V355" s="59"/>
      <c r="W355" s="59"/>
      <c r="X355" s="60"/>
      <c r="Y355" s="59"/>
      <c r="Z355" s="59"/>
    </row>
    <row r="356" ht="15.75" customHeight="1">
      <c r="V356" s="59"/>
      <c r="W356" s="59"/>
      <c r="X356" s="60"/>
      <c r="Y356" s="59"/>
      <c r="Z356" s="59"/>
    </row>
    <row r="357" ht="15.75" customHeight="1">
      <c r="V357" s="59"/>
      <c r="W357" s="59"/>
      <c r="X357" s="60"/>
      <c r="Y357" s="59"/>
      <c r="Z357" s="59"/>
    </row>
    <row r="358" ht="15.75" customHeight="1">
      <c r="V358" s="59"/>
      <c r="W358" s="59"/>
      <c r="X358" s="60"/>
      <c r="Y358" s="59"/>
      <c r="Z358" s="59"/>
    </row>
    <row r="359" ht="15.75" customHeight="1">
      <c r="V359" s="59"/>
      <c r="W359" s="59"/>
      <c r="X359" s="60"/>
      <c r="Y359" s="59"/>
      <c r="Z359" s="59"/>
    </row>
    <row r="360" ht="15.75" customHeight="1">
      <c r="V360" s="59"/>
      <c r="W360" s="59"/>
      <c r="X360" s="60"/>
      <c r="Y360" s="59"/>
      <c r="Z360" s="59"/>
    </row>
    <row r="361" ht="15.75" customHeight="1">
      <c r="V361" s="59"/>
      <c r="W361" s="59"/>
      <c r="X361" s="60"/>
      <c r="Y361" s="59"/>
      <c r="Z361" s="59"/>
    </row>
    <row r="362" ht="15.75" customHeight="1">
      <c r="V362" s="59"/>
      <c r="W362" s="59"/>
      <c r="X362" s="60"/>
      <c r="Y362" s="59"/>
      <c r="Z362" s="59"/>
    </row>
    <row r="363" ht="15.75" customHeight="1">
      <c r="V363" s="59"/>
      <c r="W363" s="59"/>
      <c r="X363" s="60"/>
      <c r="Y363" s="59"/>
      <c r="Z363" s="59"/>
    </row>
    <row r="364" ht="15.75" customHeight="1">
      <c r="V364" s="59"/>
      <c r="W364" s="59"/>
      <c r="X364" s="60"/>
      <c r="Y364" s="59"/>
      <c r="Z364" s="59"/>
    </row>
    <row r="365" ht="15.75" customHeight="1">
      <c r="V365" s="59"/>
      <c r="W365" s="59"/>
      <c r="X365" s="60"/>
      <c r="Y365" s="59"/>
      <c r="Z365" s="59"/>
    </row>
    <row r="366" ht="15.75" customHeight="1">
      <c r="V366" s="59"/>
      <c r="W366" s="59"/>
      <c r="X366" s="60"/>
      <c r="Y366" s="59"/>
      <c r="Z366" s="59"/>
    </row>
    <row r="367" ht="15.75" customHeight="1">
      <c r="V367" s="59"/>
      <c r="W367" s="59"/>
      <c r="X367" s="60"/>
      <c r="Y367" s="59"/>
      <c r="Z367" s="59"/>
    </row>
    <row r="368" ht="15.75" customHeight="1">
      <c r="V368" s="59"/>
      <c r="W368" s="59"/>
      <c r="X368" s="60"/>
      <c r="Y368" s="59"/>
      <c r="Z368" s="59"/>
    </row>
    <row r="369" ht="15.75" customHeight="1">
      <c r="V369" s="59"/>
      <c r="W369" s="59"/>
      <c r="X369" s="60"/>
      <c r="Y369" s="59"/>
      <c r="Z369" s="59"/>
    </row>
    <row r="370" ht="15.75" customHeight="1">
      <c r="V370" s="59"/>
      <c r="W370" s="59"/>
      <c r="X370" s="60"/>
      <c r="Y370" s="59"/>
      <c r="Z370" s="59"/>
    </row>
    <row r="371" ht="15.75" customHeight="1">
      <c r="V371" s="59"/>
      <c r="W371" s="59"/>
      <c r="X371" s="60"/>
      <c r="Y371" s="59"/>
      <c r="Z371" s="59"/>
    </row>
    <row r="372" ht="15.75" customHeight="1">
      <c r="V372" s="59"/>
      <c r="W372" s="59"/>
      <c r="X372" s="60"/>
      <c r="Y372" s="59"/>
      <c r="Z372" s="59"/>
    </row>
    <row r="373" ht="15.75" customHeight="1">
      <c r="V373" s="59"/>
      <c r="W373" s="59"/>
      <c r="X373" s="60"/>
      <c r="Y373" s="59"/>
      <c r="Z373" s="59"/>
    </row>
    <row r="374" ht="15.75" customHeight="1">
      <c r="V374" s="59"/>
      <c r="W374" s="59"/>
      <c r="X374" s="60"/>
      <c r="Y374" s="59"/>
      <c r="Z374" s="59"/>
    </row>
    <row r="375" ht="15.75" customHeight="1">
      <c r="V375" s="59"/>
      <c r="W375" s="59"/>
      <c r="X375" s="60"/>
      <c r="Y375" s="59"/>
      <c r="Z375" s="59"/>
    </row>
    <row r="376" ht="15.75" customHeight="1">
      <c r="V376" s="59"/>
      <c r="W376" s="59"/>
      <c r="X376" s="60"/>
      <c r="Y376" s="59"/>
      <c r="Z376" s="59"/>
    </row>
    <row r="377" ht="15.75" customHeight="1">
      <c r="V377" s="59"/>
      <c r="W377" s="59"/>
      <c r="X377" s="60"/>
      <c r="Y377" s="59"/>
      <c r="Z377" s="59"/>
    </row>
    <row r="378" ht="15.75" customHeight="1">
      <c r="V378" s="59"/>
      <c r="W378" s="59"/>
      <c r="X378" s="60"/>
      <c r="Y378" s="59"/>
      <c r="Z378" s="59"/>
    </row>
    <row r="379" ht="15.75" customHeight="1">
      <c r="V379" s="59"/>
      <c r="W379" s="59"/>
      <c r="X379" s="60"/>
      <c r="Y379" s="59"/>
      <c r="Z379" s="59"/>
    </row>
    <row r="380" ht="15.75" customHeight="1">
      <c r="V380" s="59"/>
      <c r="W380" s="59"/>
      <c r="X380" s="60"/>
      <c r="Y380" s="59"/>
      <c r="Z380" s="59"/>
    </row>
    <row r="381" ht="15.75" customHeight="1">
      <c r="V381" s="59"/>
      <c r="W381" s="59"/>
      <c r="X381" s="60"/>
      <c r="Y381" s="59"/>
      <c r="Z381" s="59"/>
    </row>
    <row r="382" ht="15.75" customHeight="1">
      <c r="V382" s="59"/>
      <c r="W382" s="59"/>
      <c r="X382" s="60"/>
      <c r="Y382" s="59"/>
      <c r="Z382" s="59"/>
    </row>
    <row r="383" ht="15.75" customHeight="1">
      <c r="V383" s="59"/>
      <c r="W383" s="59"/>
      <c r="X383" s="60"/>
      <c r="Y383" s="59"/>
      <c r="Z383" s="59"/>
    </row>
    <row r="384" ht="15.75" customHeight="1">
      <c r="V384" s="59"/>
      <c r="W384" s="59"/>
      <c r="X384" s="60"/>
      <c r="Y384" s="59"/>
      <c r="Z384" s="59"/>
    </row>
    <row r="385" ht="15.75" customHeight="1">
      <c r="V385" s="59"/>
      <c r="W385" s="59"/>
      <c r="X385" s="60"/>
      <c r="Y385" s="59"/>
      <c r="Z385" s="59"/>
    </row>
    <row r="386" ht="15.75" customHeight="1">
      <c r="V386" s="59"/>
      <c r="W386" s="59"/>
      <c r="X386" s="60"/>
      <c r="Y386" s="59"/>
      <c r="Z386" s="59"/>
    </row>
    <row r="387" ht="15.75" customHeight="1">
      <c r="V387" s="59"/>
      <c r="W387" s="59"/>
      <c r="X387" s="60"/>
      <c r="Y387" s="59"/>
      <c r="Z387" s="59"/>
    </row>
    <row r="388" ht="15.75" customHeight="1">
      <c r="V388" s="59"/>
      <c r="W388" s="59"/>
      <c r="X388" s="60"/>
      <c r="Y388" s="59"/>
      <c r="Z388" s="59"/>
    </row>
    <row r="389" ht="15.75" customHeight="1">
      <c r="V389" s="59"/>
      <c r="W389" s="59"/>
      <c r="X389" s="60"/>
      <c r="Y389" s="59"/>
      <c r="Z389" s="59"/>
    </row>
    <row r="390" ht="15.75" customHeight="1">
      <c r="V390" s="59"/>
      <c r="W390" s="59"/>
      <c r="X390" s="60"/>
      <c r="Y390" s="59"/>
      <c r="Z390" s="59"/>
    </row>
    <row r="391" ht="15.75" customHeight="1">
      <c r="V391" s="59"/>
      <c r="W391" s="59"/>
      <c r="X391" s="60"/>
      <c r="Y391" s="59"/>
      <c r="Z391" s="59"/>
    </row>
    <row r="392" ht="15.75" customHeight="1">
      <c r="V392" s="59"/>
      <c r="W392" s="59"/>
      <c r="X392" s="60"/>
      <c r="Y392" s="59"/>
      <c r="Z392" s="59"/>
    </row>
    <row r="393" ht="15.75" customHeight="1">
      <c r="V393" s="59"/>
      <c r="W393" s="59"/>
      <c r="X393" s="60"/>
      <c r="Y393" s="59"/>
      <c r="Z393" s="59"/>
    </row>
    <row r="394" ht="15.75" customHeight="1">
      <c r="V394" s="59"/>
      <c r="W394" s="59"/>
      <c r="X394" s="60"/>
      <c r="Y394" s="59"/>
      <c r="Z394" s="59"/>
    </row>
    <row r="395" ht="15.75" customHeight="1">
      <c r="V395" s="59"/>
      <c r="W395" s="59"/>
      <c r="X395" s="60"/>
      <c r="Y395" s="59"/>
      <c r="Z395" s="59"/>
    </row>
    <row r="396" ht="15.75" customHeight="1">
      <c r="V396" s="59"/>
      <c r="W396" s="59"/>
      <c r="X396" s="60"/>
      <c r="Y396" s="59"/>
      <c r="Z396" s="59"/>
    </row>
    <row r="397" ht="15.75" customHeight="1">
      <c r="V397" s="59"/>
      <c r="W397" s="59"/>
      <c r="X397" s="60"/>
      <c r="Y397" s="59"/>
      <c r="Z397" s="59"/>
    </row>
    <row r="398" ht="15.75" customHeight="1">
      <c r="V398" s="59"/>
      <c r="W398" s="59"/>
      <c r="X398" s="60"/>
      <c r="Y398" s="59"/>
      <c r="Z398" s="59"/>
    </row>
    <row r="399" ht="15.75" customHeight="1">
      <c r="V399" s="59"/>
      <c r="W399" s="59"/>
      <c r="X399" s="60"/>
      <c r="Y399" s="59"/>
      <c r="Z399" s="59"/>
    </row>
    <row r="400" ht="15.75" customHeight="1">
      <c r="V400" s="59"/>
      <c r="W400" s="59"/>
      <c r="X400" s="60"/>
      <c r="Y400" s="59"/>
      <c r="Z400" s="59"/>
    </row>
    <row r="401" ht="15.75" customHeight="1">
      <c r="V401" s="59"/>
      <c r="W401" s="59"/>
      <c r="X401" s="60"/>
      <c r="Y401" s="59"/>
      <c r="Z401" s="59"/>
    </row>
    <row r="402" ht="15.75" customHeight="1">
      <c r="V402" s="59"/>
      <c r="W402" s="59"/>
      <c r="X402" s="60"/>
      <c r="Y402" s="59"/>
      <c r="Z402" s="59"/>
    </row>
    <row r="403" ht="15.75" customHeight="1">
      <c r="V403" s="59"/>
      <c r="W403" s="59"/>
      <c r="X403" s="60"/>
      <c r="Y403" s="59"/>
      <c r="Z403" s="59"/>
    </row>
    <row r="404" ht="15.75" customHeight="1">
      <c r="V404" s="59"/>
      <c r="W404" s="59"/>
      <c r="X404" s="60"/>
      <c r="Y404" s="59"/>
      <c r="Z404" s="59"/>
    </row>
    <row r="405" ht="15.75" customHeight="1">
      <c r="V405" s="59"/>
      <c r="W405" s="59"/>
      <c r="X405" s="60"/>
      <c r="Y405" s="59"/>
      <c r="Z405" s="59"/>
    </row>
    <row r="406" ht="15.75" customHeight="1">
      <c r="V406" s="59"/>
      <c r="W406" s="59"/>
      <c r="X406" s="60"/>
      <c r="Y406" s="59"/>
      <c r="Z406" s="59"/>
    </row>
    <row r="407" ht="15.75" customHeight="1">
      <c r="V407" s="59"/>
      <c r="W407" s="59"/>
      <c r="X407" s="60"/>
      <c r="Y407" s="59"/>
      <c r="Z407" s="59"/>
    </row>
    <row r="408" ht="15.75" customHeight="1">
      <c r="V408" s="59"/>
      <c r="W408" s="59"/>
      <c r="X408" s="60"/>
      <c r="Y408" s="59"/>
      <c r="Z408" s="59"/>
    </row>
    <row r="409" ht="15.75" customHeight="1">
      <c r="V409" s="59"/>
      <c r="W409" s="59"/>
      <c r="X409" s="60"/>
      <c r="Y409" s="59"/>
      <c r="Z409" s="59"/>
    </row>
    <row r="410" ht="15.75" customHeight="1">
      <c r="V410" s="59"/>
      <c r="W410" s="59"/>
      <c r="X410" s="60"/>
      <c r="Y410" s="59"/>
      <c r="Z410" s="59"/>
    </row>
    <row r="411" ht="15.75" customHeight="1">
      <c r="V411" s="59"/>
      <c r="W411" s="59"/>
      <c r="X411" s="60"/>
      <c r="Y411" s="59"/>
      <c r="Z411" s="59"/>
    </row>
    <row r="412" ht="15.75" customHeight="1">
      <c r="V412" s="59"/>
      <c r="W412" s="59"/>
      <c r="X412" s="60"/>
      <c r="Y412" s="59"/>
      <c r="Z412" s="59"/>
    </row>
    <row r="413" ht="15.75" customHeight="1">
      <c r="V413" s="59"/>
      <c r="W413" s="59"/>
      <c r="X413" s="60"/>
      <c r="Y413" s="59"/>
      <c r="Z413" s="59"/>
    </row>
    <row r="414" ht="15.75" customHeight="1">
      <c r="V414" s="59"/>
      <c r="W414" s="59"/>
      <c r="X414" s="60"/>
      <c r="Y414" s="59"/>
      <c r="Z414" s="59"/>
    </row>
    <row r="415" ht="15.75" customHeight="1">
      <c r="V415" s="59"/>
      <c r="W415" s="59"/>
      <c r="X415" s="60"/>
      <c r="Y415" s="59"/>
      <c r="Z415" s="59"/>
    </row>
    <row r="416" ht="15.75" customHeight="1">
      <c r="V416" s="59"/>
      <c r="W416" s="59"/>
      <c r="X416" s="60"/>
      <c r="Y416" s="59"/>
      <c r="Z416" s="59"/>
    </row>
    <row r="417" ht="15.75" customHeight="1">
      <c r="V417" s="59"/>
      <c r="W417" s="59"/>
      <c r="X417" s="60"/>
      <c r="Y417" s="59"/>
      <c r="Z417" s="59"/>
    </row>
    <row r="418" ht="15.75" customHeight="1">
      <c r="V418" s="59"/>
      <c r="W418" s="59"/>
      <c r="X418" s="60"/>
      <c r="Y418" s="59"/>
      <c r="Z418" s="59"/>
    </row>
    <row r="419" ht="15.75" customHeight="1">
      <c r="V419" s="59"/>
      <c r="W419" s="59"/>
      <c r="X419" s="60"/>
      <c r="Y419" s="59"/>
      <c r="Z419" s="59"/>
    </row>
    <row r="420" ht="15.75" customHeight="1">
      <c r="V420" s="59"/>
      <c r="W420" s="59"/>
      <c r="X420" s="60"/>
      <c r="Y420" s="59"/>
      <c r="Z420" s="59"/>
    </row>
    <row r="421" ht="15.75" customHeight="1">
      <c r="V421" s="59"/>
      <c r="W421" s="59"/>
      <c r="X421" s="60"/>
      <c r="Y421" s="59"/>
      <c r="Z421" s="59"/>
    </row>
    <row r="422" ht="15.75" customHeight="1">
      <c r="V422" s="59"/>
      <c r="W422" s="59"/>
      <c r="X422" s="60"/>
      <c r="Y422" s="59"/>
      <c r="Z422" s="59"/>
    </row>
    <row r="423" ht="15.75" customHeight="1">
      <c r="V423" s="59"/>
      <c r="W423" s="59"/>
      <c r="X423" s="60"/>
      <c r="Y423" s="59"/>
      <c r="Z423" s="59"/>
    </row>
    <row r="424" ht="15.75" customHeight="1">
      <c r="V424" s="59"/>
      <c r="W424" s="59"/>
      <c r="X424" s="60"/>
      <c r="Y424" s="59"/>
      <c r="Z424" s="59"/>
    </row>
    <row r="425" ht="15.75" customHeight="1">
      <c r="V425" s="59"/>
      <c r="W425" s="59"/>
      <c r="X425" s="60"/>
      <c r="Y425" s="59"/>
      <c r="Z425" s="59"/>
    </row>
    <row r="426" ht="15.75" customHeight="1">
      <c r="V426" s="59"/>
      <c r="W426" s="59"/>
      <c r="X426" s="60"/>
      <c r="Y426" s="59"/>
      <c r="Z426" s="59"/>
    </row>
    <row r="427" ht="15.75" customHeight="1">
      <c r="V427" s="59"/>
      <c r="W427" s="59"/>
      <c r="X427" s="60"/>
      <c r="Y427" s="59"/>
      <c r="Z427" s="59"/>
    </row>
    <row r="428" ht="15.75" customHeight="1">
      <c r="V428" s="59"/>
      <c r="W428" s="59"/>
      <c r="X428" s="60"/>
      <c r="Y428" s="59"/>
      <c r="Z428" s="59"/>
    </row>
    <row r="429" ht="15.75" customHeight="1">
      <c r="V429" s="59"/>
      <c r="W429" s="59"/>
      <c r="X429" s="60"/>
      <c r="Y429" s="59"/>
      <c r="Z429" s="59"/>
    </row>
    <row r="430" ht="15.75" customHeight="1">
      <c r="V430" s="59"/>
      <c r="W430" s="59"/>
      <c r="X430" s="60"/>
      <c r="Y430" s="59"/>
      <c r="Z430" s="59"/>
    </row>
    <row r="431" ht="15.75" customHeight="1">
      <c r="V431" s="59"/>
      <c r="W431" s="59"/>
      <c r="X431" s="60"/>
      <c r="Y431" s="59"/>
      <c r="Z431" s="59"/>
    </row>
    <row r="432" ht="15.75" customHeight="1">
      <c r="V432" s="59"/>
      <c r="W432" s="59"/>
      <c r="X432" s="60"/>
      <c r="Y432" s="59"/>
      <c r="Z432" s="59"/>
    </row>
    <row r="433" ht="15.75" customHeight="1">
      <c r="V433" s="59"/>
      <c r="W433" s="59"/>
      <c r="X433" s="60"/>
      <c r="Y433" s="59"/>
      <c r="Z433" s="59"/>
    </row>
    <row r="434" ht="15.75" customHeight="1">
      <c r="V434" s="59"/>
      <c r="W434" s="59"/>
      <c r="X434" s="60"/>
      <c r="Y434" s="59"/>
      <c r="Z434" s="59"/>
    </row>
    <row r="435" ht="15.75" customHeight="1">
      <c r="V435" s="59"/>
      <c r="W435" s="59"/>
      <c r="X435" s="60"/>
      <c r="Y435" s="59"/>
      <c r="Z435" s="59"/>
    </row>
    <row r="436" ht="15.75" customHeight="1">
      <c r="V436" s="59"/>
      <c r="W436" s="59"/>
      <c r="X436" s="60"/>
      <c r="Y436" s="59"/>
      <c r="Z436" s="59"/>
    </row>
    <row r="437" ht="15.75" customHeight="1">
      <c r="V437" s="59"/>
      <c r="W437" s="59"/>
      <c r="X437" s="60"/>
      <c r="Y437" s="59"/>
      <c r="Z437" s="59"/>
    </row>
    <row r="438" ht="15.75" customHeight="1">
      <c r="V438" s="59"/>
      <c r="W438" s="59"/>
      <c r="X438" s="60"/>
      <c r="Y438" s="59"/>
      <c r="Z438" s="59"/>
    </row>
    <row r="439" ht="15.75" customHeight="1">
      <c r="V439" s="59"/>
      <c r="W439" s="59"/>
      <c r="X439" s="60"/>
      <c r="Y439" s="59"/>
      <c r="Z439" s="59"/>
    </row>
    <row r="440" ht="15.75" customHeight="1">
      <c r="V440" s="59"/>
      <c r="W440" s="59"/>
      <c r="X440" s="60"/>
      <c r="Y440" s="59"/>
      <c r="Z440" s="59"/>
    </row>
    <row r="441" ht="15.75" customHeight="1">
      <c r="V441" s="59"/>
      <c r="W441" s="59"/>
      <c r="X441" s="60"/>
      <c r="Y441" s="59"/>
      <c r="Z441" s="59"/>
    </row>
    <row r="442" ht="15.75" customHeight="1">
      <c r="V442" s="59"/>
      <c r="W442" s="59"/>
      <c r="X442" s="60"/>
      <c r="Y442" s="59"/>
      <c r="Z442" s="59"/>
    </row>
    <row r="443" ht="15.75" customHeight="1">
      <c r="V443" s="59"/>
      <c r="W443" s="59"/>
      <c r="X443" s="60"/>
      <c r="Y443" s="59"/>
      <c r="Z443" s="59"/>
    </row>
    <row r="444" ht="15.75" customHeight="1">
      <c r="V444" s="59"/>
      <c r="W444" s="59"/>
      <c r="X444" s="60"/>
      <c r="Y444" s="59"/>
      <c r="Z444" s="59"/>
    </row>
    <row r="445" ht="15.75" customHeight="1">
      <c r="V445" s="59"/>
      <c r="W445" s="59"/>
      <c r="X445" s="60"/>
      <c r="Y445" s="59"/>
      <c r="Z445" s="59"/>
    </row>
    <row r="446" ht="15.75" customHeight="1">
      <c r="V446" s="59"/>
      <c r="W446" s="59"/>
      <c r="X446" s="60"/>
      <c r="Y446" s="59"/>
      <c r="Z446" s="59"/>
    </row>
    <row r="447" ht="15.75" customHeight="1">
      <c r="V447" s="59"/>
      <c r="W447" s="59"/>
      <c r="X447" s="60"/>
      <c r="Y447" s="59"/>
      <c r="Z447" s="59"/>
    </row>
    <row r="448" ht="15.75" customHeight="1">
      <c r="V448" s="59"/>
      <c r="W448" s="59"/>
      <c r="X448" s="60"/>
      <c r="Y448" s="59"/>
      <c r="Z448" s="59"/>
    </row>
    <row r="449" ht="15.75" customHeight="1">
      <c r="V449" s="59"/>
      <c r="W449" s="59"/>
      <c r="X449" s="60"/>
      <c r="Y449" s="59"/>
      <c r="Z449" s="59"/>
    </row>
    <row r="450" ht="15.75" customHeight="1">
      <c r="V450" s="59"/>
      <c r="W450" s="59"/>
      <c r="X450" s="60"/>
      <c r="Y450" s="59"/>
      <c r="Z450" s="59"/>
    </row>
    <row r="451" ht="15.75" customHeight="1">
      <c r="V451" s="59"/>
      <c r="W451" s="59"/>
      <c r="X451" s="60"/>
      <c r="Y451" s="59"/>
      <c r="Z451" s="59"/>
    </row>
    <row r="452" ht="15.75" customHeight="1">
      <c r="V452" s="59"/>
      <c r="W452" s="59"/>
      <c r="X452" s="60"/>
      <c r="Y452" s="59"/>
      <c r="Z452" s="59"/>
    </row>
    <row r="453" ht="15.75" customHeight="1">
      <c r="V453" s="59"/>
      <c r="W453" s="59"/>
      <c r="X453" s="60"/>
      <c r="Y453" s="59"/>
      <c r="Z453" s="59"/>
    </row>
    <row r="454" ht="15.75" customHeight="1">
      <c r="V454" s="59"/>
      <c r="W454" s="59"/>
      <c r="X454" s="60"/>
      <c r="Y454" s="59"/>
      <c r="Z454" s="59"/>
    </row>
    <row r="455" ht="15.75" customHeight="1">
      <c r="V455" s="59"/>
      <c r="W455" s="59"/>
      <c r="X455" s="60"/>
      <c r="Y455" s="59"/>
      <c r="Z455" s="59"/>
    </row>
    <row r="456" ht="15.75" customHeight="1">
      <c r="V456" s="59"/>
      <c r="W456" s="59"/>
      <c r="X456" s="60"/>
      <c r="Y456" s="59"/>
      <c r="Z456" s="59"/>
    </row>
    <row r="457" ht="15.75" customHeight="1">
      <c r="V457" s="59"/>
      <c r="W457" s="59"/>
      <c r="X457" s="60"/>
      <c r="Y457" s="59"/>
      <c r="Z457" s="59"/>
    </row>
    <row r="458" ht="15.75" customHeight="1">
      <c r="V458" s="59"/>
      <c r="W458" s="59"/>
      <c r="X458" s="60"/>
      <c r="Y458" s="59"/>
      <c r="Z458" s="59"/>
    </row>
    <row r="459" ht="15.75" customHeight="1">
      <c r="V459" s="59"/>
      <c r="W459" s="59"/>
      <c r="X459" s="60"/>
      <c r="Y459" s="59"/>
      <c r="Z459" s="59"/>
    </row>
    <row r="460" ht="15.75" customHeight="1">
      <c r="V460" s="59"/>
      <c r="W460" s="59"/>
      <c r="X460" s="60"/>
      <c r="Y460" s="59"/>
      <c r="Z460" s="59"/>
    </row>
    <row r="461" ht="15.75" customHeight="1">
      <c r="V461" s="59"/>
      <c r="W461" s="59"/>
      <c r="X461" s="60"/>
      <c r="Y461" s="59"/>
      <c r="Z461" s="59"/>
    </row>
    <row r="462" ht="15.75" customHeight="1">
      <c r="V462" s="59"/>
      <c r="W462" s="59"/>
      <c r="X462" s="60"/>
      <c r="Y462" s="59"/>
      <c r="Z462" s="59"/>
    </row>
    <row r="463" ht="15.75" customHeight="1">
      <c r="V463" s="59"/>
      <c r="W463" s="59"/>
      <c r="X463" s="60"/>
      <c r="Y463" s="59"/>
      <c r="Z463" s="59"/>
    </row>
    <row r="464" ht="15.75" customHeight="1">
      <c r="V464" s="59"/>
      <c r="W464" s="59"/>
      <c r="X464" s="60"/>
      <c r="Y464" s="59"/>
      <c r="Z464" s="59"/>
    </row>
    <row r="465" ht="15.75" customHeight="1">
      <c r="V465" s="59"/>
      <c r="W465" s="59"/>
      <c r="X465" s="60"/>
      <c r="Y465" s="59"/>
      <c r="Z465" s="59"/>
    </row>
    <row r="466" ht="15.75" customHeight="1">
      <c r="V466" s="59"/>
      <c r="W466" s="59"/>
      <c r="X466" s="60"/>
      <c r="Y466" s="59"/>
      <c r="Z466" s="59"/>
    </row>
    <row r="467" ht="15.75" customHeight="1">
      <c r="V467" s="59"/>
      <c r="W467" s="59"/>
      <c r="X467" s="60"/>
      <c r="Y467" s="59"/>
      <c r="Z467" s="59"/>
    </row>
    <row r="468" ht="15.75" customHeight="1">
      <c r="V468" s="59"/>
      <c r="W468" s="59"/>
      <c r="X468" s="60"/>
      <c r="Y468" s="59"/>
      <c r="Z468" s="59"/>
    </row>
    <row r="469" ht="15.75" customHeight="1">
      <c r="V469" s="59"/>
      <c r="W469" s="59"/>
      <c r="X469" s="60"/>
      <c r="Y469" s="59"/>
      <c r="Z469" s="59"/>
    </row>
    <row r="470" ht="15.75" customHeight="1">
      <c r="V470" s="59"/>
      <c r="W470" s="59"/>
      <c r="X470" s="60"/>
      <c r="Y470" s="59"/>
      <c r="Z470" s="59"/>
    </row>
    <row r="471" ht="15.75" customHeight="1">
      <c r="V471" s="59"/>
      <c r="W471" s="59"/>
      <c r="X471" s="60"/>
      <c r="Y471" s="59"/>
      <c r="Z471" s="59"/>
    </row>
    <row r="472" ht="15.75" customHeight="1">
      <c r="V472" s="59"/>
      <c r="W472" s="59"/>
      <c r="X472" s="60"/>
      <c r="Y472" s="59"/>
      <c r="Z472" s="59"/>
    </row>
    <row r="473" ht="15.75" customHeight="1">
      <c r="V473" s="59"/>
      <c r="W473" s="59"/>
      <c r="X473" s="60"/>
      <c r="Y473" s="59"/>
      <c r="Z473" s="59"/>
    </row>
    <row r="474" ht="15.75" customHeight="1">
      <c r="V474" s="59"/>
      <c r="W474" s="59"/>
      <c r="X474" s="60"/>
      <c r="Y474" s="59"/>
      <c r="Z474" s="59"/>
    </row>
    <row r="475" ht="15.75" customHeight="1">
      <c r="V475" s="59"/>
      <c r="W475" s="59"/>
      <c r="X475" s="60"/>
      <c r="Y475" s="59"/>
      <c r="Z475" s="59"/>
    </row>
    <row r="476" ht="15.75" customHeight="1">
      <c r="V476" s="59"/>
      <c r="W476" s="59"/>
      <c r="X476" s="60"/>
      <c r="Y476" s="59"/>
      <c r="Z476" s="59"/>
    </row>
    <row r="477" ht="15.75" customHeight="1">
      <c r="V477" s="59"/>
      <c r="W477" s="59"/>
      <c r="X477" s="60"/>
      <c r="Y477" s="59"/>
      <c r="Z477" s="59"/>
    </row>
    <row r="478" ht="15.75" customHeight="1">
      <c r="V478" s="59"/>
      <c r="W478" s="59"/>
      <c r="X478" s="60"/>
      <c r="Y478" s="59"/>
      <c r="Z478" s="59"/>
    </row>
    <row r="479" ht="15.75" customHeight="1">
      <c r="V479" s="59"/>
      <c r="W479" s="59"/>
      <c r="X479" s="60"/>
      <c r="Y479" s="59"/>
      <c r="Z479" s="59"/>
    </row>
    <row r="480" ht="15.75" customHeight="1">
      <c r="V480" s="59"/>
      <c r="W480" s="59"/>
      <c r="X480" s="60"/>
      <c r="Y480" s="59"/>
      <c r="Z480" s="59"/>
    </row>
    <row r="481" ht="15.75" customHeight="1">
      <c r="V481" s="59"/>
      <c r="W481" s="59"/>
      <c r="X481" s="60"/>
      <c r="Y481" s="59"/>
      <c r="Z481" s="59"/>
    </row>
    <row r="482" ht="15.75" customHeight="1">
      <c r="V482" s="59"/>
      <c r="W482" s="59"/>
      <c r="X482" s="60"/>
      <c r="Y482" s="59"/>
      <c r="Z482" s="59"/>
    </row>
    <row r="483" ht="15.75" customHeight="1">
      <c r="V483" s="59"/>
      <c r="W483" s="59"/>
      <c r="X483" s="60"/>
      <c r="Y483" s="59"/>
      <c r="Z483" s="59"/>
    </row>
    <row r="484" ht="15.75" customHeight="1">
      <c r="V484" s="59"/>
      <c r="W484" s="59"/>
      <c r="X484" s="60"/>
      <c r="Y484" s="59"/>
      <c r="Z484" s="59"/>
    </row>
    <row r="485" ht="15.75" customHeight="1">
      <c r="V485" s="59"/>
      <c r="W485" s="59"/>
      <c r="X485" s="60"/>
      <c r="Y485" s="59"/>
      <c r="Z485" s="59"/>
    </row>
    <row r="486" ht="15.75" customHeight="1">
      <c r="V486" s="59"/>
      <c r="W486" s="59"/>
      <c r="X486" s="60"/>
      <c r="Y486" s="59"/>
      <c r="Z486" s="59"/>
    </row>
    <row r="487" ht="15.75" customHeight="1">
      <c r="V487" s="59"/>
      <c r="W487" s="59"/>
      <c r="X487" s="60"/>
      <c r="Y487" s="59"/>
      <c r="Z487" s="59"/>
    </row>
    <row r="488" ht="15.75" customHeight="1">
      <c r="V488" s="59"/>
      <c r="W488" s="59"/>
      <c r="X488" s="60"/>
      <c r="Y488" s="59"/>
      <c r="Z488" s="59"/>
    </row>
    <row r="489" ht="15.75" customHeight="1">
      <c r="V489" s="59"/>
      <c r="W489" s="59"/>
      <c r="X489" s="60"/>
      <c r="Y489" s="59"/>
      <c r="Z489" s="59"/>
    </row>
    <row r="490" ht="15.75" customHeight="1">
      <c r="V490" s="59"/>
      <c r="W490" s="59"/>
      <c r="X490" s="60"/>
      <c r="Y490" s="59"/>
      <c r="Z490" s="59"/>
    </row>
    <row r="491" ht="15.75" customHeight="1">
      <c r="V491" s="59"/>
      <c r="W491" s="59"/>
      <c r="X491" s="60"/>
      <c r="Y491" s="59"/>
      <c r="Z491" s="59"/>
    </row>
    <row r="492" ht="15.75" customHeight="1">
      <c r="V492" s="59"/>
      <c r="W492" s="59"/>
      <c r="X492" s="60"/>
      <c r="Y492" s="59"/>
      <c r="Z492" s="59"/>
    </row>
    <row r="493" ht="15.75" customHeight="1">
      <c r="V493" s="59"/>
      <c r="W493" s="59"/>
      <c r="X493" s="60"/>
      <c r="Y493" s="59"/>
      <c r="Z493" s="59"/>
    </row>
    <row r="494" ht="15.75" customHeight="1">
      <c r="V494" s="59"/>
      <c r="W494" s="59"/>
      <c r="X494" s="60"/>
      <c r="Y494" s="59"/>
      <c r="Z494" s="59"/>
    </row>
    <row r="495" ht="15.75" customHeight="1">
      <c r="V495" s="59"/>
      <c r="W495" s="59"/>
      <c r="X495" s="60"/>
      <c r="Y495" s="59"/>
      <c r="Z495" s="59"/>
    </row>
    <row r="496" ht="15.75" customHeight="1">
      <c r="V496" s="59"/>
      <c r="W496" s="59"/>
      <c r="X496" s="60"/>
      <c r="Y496" s="59"/>
      <c r="Z496" s="59"/>
    </row>
    <row r="497" ht="15.75" customHeight="1">
      <c r="V497" s="59"/>
      <c r="W497" s="59"/>
      <c r="X497" s="60"/>
      <c r="Y497" s="59"/>
      <c r="Z497" s="59"/>
    </row>
    <row r="498" ht="15.75" customHeight="1">
      <c r="V498" s="59"/>
      <c r="W498" s="59"/>
      <c r="X498" s="60"/>
      <c r="Y498" s="59"/>
      <c r="Z498" s="59"/>
    </row>
    <row r="499" ht="15.75" customHeight="1">
      <c r="V499" s="59"/>
      <c r="W499" s="59"/>
      <c r="X499" s="60"/>
      <c r="Y499" s="59"/>
      <c r="Z499" s="59"/>
    </row>
    <row r="500" ht="15.75" customHeight="1">
      <c r="V500" s="59"/>
      <c r="W500" s="59"/>
      <c r="X500" s="60"/>
      <c r="Y500" s="59"/>
      <c r="Z500" s="59"/>
    </row>
    <row r="501" ht="15.75" customHeight="1">
      <c r="V501" s="59"/>
      <c r="W501" s="59"/>
      <c r="X501" s="60"/>
      <c r="Y501" s="59"/>
      <c r="Z501" s="59"/>
    </row>
    <row r="502" ht="15.75" customHeight="1">
      <c r="V502" s="59"/>
      <c r="W502" s="59"/>
      <c r="X502" s="60"/>
      <c r="Y502" s="59"/>
      <c r="Z502" s="59"/>
    </row>
    <row r="503" ht="15.75" customHeight="1">
      <c r="V503" s="59"/>
      <c r="W503" s="59"/>
      <c r="X503" s="60"/>
      <c r="Y503" s="59"/>
      <c r="Z503" s="59"/>
    </row>
    <row r="504" ht="15.75" customHeight="1">
      <c r="V504" s="59"/>
      <c r="W504" s="59"/>
      <c r="X504" s="60"/>
      <c r="Y504" s="59"/>
      <c r="Z504" s="59"/>
    </row>
    <row r="505" ht="15.75" customHeight="1">
      <c r="V505" s="59"/>
      <c r="W505" s="59"/>
      <c r="X505" s="60"/>
      <c r="Y505" s="59"/>
      <c r="Z505" s="59"/>
    </row>
    <row r="506" ht="15.75" customHeight="1">
      <c r="V506" s="59"/>
      <c r="W506" s="59"/>
      <c r="X506" s="60"/>
      <c r="Y506" s="59"/>
      <c r="Z506" s="59"/>
    </row>
    <row r="507" ht="15.75" customHeight="1">
      <c r="V507" s="59"/>
      <c r="W507" s="59"/>
      <c r="X507" s="60"/>
      <c r="Y507" s="59"/>
      <c r="Z507" s="59"/>
    </row>
    <row r="508" ht="15.75" customHeight="1">
      <c r="V508" s="59"/>
      <c r="W508" s="59"/>
      <c r="X508" s="60"/>
      <c r="Y508" s="59"/>
      <c r="Z508" s="59"/>
    </row>
    <row r="509" ht="15.75" customHeight="1">
      <c r="V509" s="59"/>
      <c r="W509" s="59"/>
      <c r="X509" s="60"/>
      <c r="Y509" s="59"/>
      <c r="Z509" s="59"/>
    </row>
    <row r="510" ht="15.75" customHeight="1">
      <c r="V510" s="59"/>
      <c r="W510" s="59"/>
      <c r="X510" s="60"/>
      <c r="Y510" s="59"/>
      <c r="Z510" s="59"/>
    </row>
    <row r="511" ht="15.75" customHeight="1">
      <c r="V511" s="59"/>
      <c r="W511" s="59"/>
      <c r="X511" s="60"/>
      <c r="Y511" s="59"/>
      <c r="Z511" s="59"/>
    </row>
    <row r="512" ht="15.75" customHeight="1">
      <c r="V512" s="59"/>
      <c r="W512" s="59"/>
      <c r="X512" s="60"/>
      <c r="Y512" s="59"/>
      <c r="Z512" s="59"/>
    </row>
    <row r="513" ht="15.75" customHeight="1">
      <c r="V513" s="59"/>
      <c r="W513" s="59"/>
      <c r="X513" s="60"/>
      <c r="Y513" s="59"/>
      <c r="Z513" s="59"/>
    </row>
    <row r="514" ht="15.75" customHeight="1">
      <c r="V514" s="59"/>
      <c r="W514" s="59"/>
      <c r="X514" s="60"/>
      <c r="Y514" s="59"/>
      <c r="Z514" s="59"/>
    </row>
    <row r="515" ht="15.75" customHeight="1">
      <c r="V515" s="59"/>
      <c r="W515" s="59"/>
      <c r="X515" s="60"/>
      <c r="Y515" s="59"/>
      <c r="Z515" s="59"/>
    </row>
    <row r="516" ht="15.75" customHeight="1">
      <c r="V516" s="59"/>
      <c r="W516" s="59"/>
      <c r="X516" s="60"/>
      <c r="Y516" s="59"/>
      <c r="Z516" s="59"/>
    </row>
    <row r="517" ht="15.75" customHeight="1">
      <c r="V517" s="59"/>
      <c r="W517" s="59"/>
      <c r="X517" s="60"/>
      <c r="Y517" s="59"/>
      <c r="Z517" s="59"/>
    </row>
    <row r="518" ht="15.75" customHeight="1">
      <c r="V518" s="59"/>
      <c r="W518" s="59"/>
      <c r="X518" s="60"/>
      <c r="Y518" s="59"/>
      <c r="Z518" s="59"/>
    </row>
    <row r="519" ht="15.75" customHeight="1">
      <c r="V519" s="59"/>
      <c r="W519" s="59"/>
      <c r="X519" s="60"/>
      <c r="Y519" s="59"/>
      <c r="Z519" s="59"/>
    </row>
    <row r="520" ht="15.75" customHeight="1">
      <c r="V520" s="59"/>
      <c r="W520" s="59"/>
      <c r="X520" s="60"/>
      <c r="Y520" s="59"/>
      <c r="Z520" s="59"/>
    </row>
    <row r="521" ht="15.75" customHeight="1">
      <c r="V521" s="59"/>
      <c r="W521" s="59"/>
      <c r="X521" s="60"/>
      <c r="Y521" s="59"/>
      <c r="Z521" s="59"/>
    </row>
    <row r="522" ht="15.75" customHeight="1">
      <c r="V522" s="59"/>
      <c r="W522" s="59"/>
      <c r="X522" s="60"/>
      <c r="Y522" s="59"/>
      <c r="Z522" s="59"/>
    </row>
    <row r="523" ht="15.75" customHeight="1">
      <c r="V523" s="59"/>
      <c r="W523" s="59"/>
      <c r="X523" s="60"/>
      <c r="Y523" s="59"/>
      <c r="Z523" s="59"/>
    </row>
    <row r="524" ht="15.75" customHeight="1">
      <c r="V524" s="59"/>
      <c r="W524" s="59"/>
      <c r="X524" s="60"/>
      <c r="Y524" s="59"/>
      <c r="Z524" s="59"/>
    </row>
    <row r="525" ht="15.75" customHeight="1">
      <c r="V525" s="59"/>
      <c r="W525" s="59"/>
      <c r="X525" s="60"/>
      <c r="Y525" s="59"/>
      <c r="Z525" s="59"/>
    </row>
    <row r="526" ht="15.75" customHeight="1">
      <c r="V526" s="59"/>
      <c r="W526" s="59"/>
      <c r="X526" s="60"/>
      <c r="Y526" s="59"/>
      <c r="Z526" s="59"/>
    </row>
    <row r="527" ht="15.75" customHeight="1">
      <c r="V527" s="59"/>
      <c r="W527" s="59"/>
      <c r="X527" s="60"/>
      <c r="Y527" s="59"/>
      <c r="Z527" s="59"/>
    </row>
    <row r="528" ht="15.75" customHeight="1">
      <c r="V528" s="59"/>
      <c r="W528" s="59"/>
      <c r="X528" s="60"/>
      <c r="Y528" s="59"/>
      <c r="Z528" s="59"/>
    </row>
    <row r="529" ht="15.75" customHeight="1">
      <c r="V529" s="59"/>
      <c r="W529" s="59"/>
      <c r="X529" s="60"/>
      <c r="Y529" s="59"/>
      <c r="Z529" s="59"/>
    </row>
    <row r="530" ht="15.75" customHeight="1">
      <c r="V530" s="59"/>
      <c r="W530" s="59"/>
      <c r="X530" s="60"/>
      <c r="Y530" s="59"/>
      <c r="Z530" s="59"/>
    </row>
    <row r="531" ht="15.75" customHeight="1">
      <c r="V531" s="59"/>
      <c r="W531" s="59"/>
      <c r="X531" s="60"/>
      <c r="Y531" s="59"/>
      <c r="Z531" s="59"/>
    </row>
    <row r="532" ht="15.75" customHeight="1">
      <c r="V532" s="59"/>
      <c r="W532" s="59"/>
      <c r="X532" s="60"/>
      <c r="Y532" s="59"/>
      <c r="Z532" s="59"/>
    </row>
    <row r="533" ht="15.75" customHeight="1">
      <c r="V533" s="59"/>
      <c r="W533" s="59"/>
      <c r="X533" s="60"/>
      <c r="Y533" s="59"/>
      <c r="Z533" s="59"/>
    </row>
    <row r="534" ht="15.75" customHeight="1">
      <c r="V534" s="59"/>
      <c r="W534" s="59"/>
      <c r="X534" s="60"/>
      <c r="Y534" s="59"/>
      <c r="Z534" s="59"/>
    </row>
    <row r="535" ht="15.75" customHeight="1">
      <c r="V535" s="59"/>
      <c r="W535" s="59"/>
      <c r="X535" s="60"/>
      <c r="Y535" s="59"/>
      <c r="Z535" s="59"/>
    </row>
    <row r="536" ht="15.75" customHeight="1">
      <c r="V536" s="59"/>
      <c r="W536" s="59"/>
      <c r="X536" s="60"/>
      <c r="Y536" s="59"/>
      <c r="Z536" s="59"/>
    </row>
    <row r="537" ht="15.75" customHeight="1">
      <c r="V537" s="59"/>
      <c r="W537" s="59"/>
      <c r="X537" s="60"/>
      <c r="Y537" s="59"/>
      <c r="Z537" s="59"/>
    </row>
    <row r="538" ht="15.75" customHeight="1">
      <c r="V538" s="59"/>
      <c r="W538" s="59"/>
      <c r="X538" s="60"/>
      <c r="Y538" s="59"/>
      <c r="Z538" s="59"/>
    </row>
    <row r="539" ht="15.75" customHeight="1">
      <c r="V539" s="59"/>
      <c r="W539" s="59"/>
      <c r="X539" s="60"/>
      <c r="Y539" s="59"/>
      <c r="Z539" s="59"/>
    </row>
    <row r="540" ht="15.75" customHeight="1">
      <c r="V540" s="59"/>
      <c r="W540" s="59"/>
      <c r="X540" s="60"/>
      <c r="Y540" s="59"/>
      <c r="Z540" s="59"/>
    </row>
    <row r="541" ht="15.75" customHeight="1">
      <c r="V541" s="59"/>
      <c r="W541" s="59"/>
      <c r="X541" s="60"/>
      <c r="Y541" s="59"/>
      <c r="Z541" s="59"/>
    </row>
    <row r="542" ht="15.75" customHeight="1">
      <c r="V542" s="59"/>
      <c r="W542" s="59"/>
      <c r="X542" s="60"/>
      <c r="Y542" s="59"/>
      <c r="Z542" s="59"/>
    </row>
    <row r="543" ht="15.75" customHeight="1">
      <c r="V543" s="59"/>
      <c r="W543" s="59"/>
      <c r="X543" s="60"/>
      <c r="Y543" s="59"/>
      <c r="Z543" s="59"/>
    </row>
    <row r="544" ht="15.75" customHeight="1">
      <c r="V544" s="59"/>
      <c r="W544" s="59"/>
      <c r="X544" s="60"/>
      <c r="Y544" s="59"/>
      <c r="Z544" s="59"/>
    </row>
    <row r="545" ht="15.75" customHeight="1">
      <c r="V545" s="59"/>
      <c r="W545" s="59"/>
      <c r="X545" s="60"/>
      <c r="Y545" s="59"/>
      <c r="Z545" s="59"/>
    </row>
    <row r="546" ht="15.75" customHeight="1">
      <c r="V546" s="59"/>
      <c r="W546" s="59"/>
      <c r="X546" s="60"/>
      <c r="Y546" s="59"/>
      <c r="Z546" s="59"/>
    </row>
    <row r="547" ht="15.75" customHeight="1">
      <c r="V547" s="59"/>
      <c r="W547" s="59"/>
      <c r="X547" s="60"/>
      <c r="Y547" s="59"/>
      <c r="Z547" s="59"/>
    </row>
    <row r="548" ht="15.75" customHeight="1">
      <c r="V548" s="59"/>
      <c r="W548" s="59"/>
      <c r="X548" s="60"/>
      <c r="Y548" s="59"/>
      <c r="Z548" s="59"/>
    </row>
    <row r="549" ht="15.75" customHeight="1">
      <c r="V549" s="59"/>
      <c r="W549" s="59"/>
      <c r="X549" s="60"/>
      <c r="Y549" s="59"/>
      <c r="Z549" s="59"/>
    </row>
    <row r="550" ht="15.75" customHeight="1">
      <c r="V550" s="59"/>
      <c r="W550" s="59"/>
      <c r="X550" s="60"/>
      <c r="Y550" s="59"/>
      <c r="Z550" s="59"/>
    </row>
    <row r="551" ht="15.75" customHeight="1">
      <c r="V551" s="59"/>
      <c r="W551" s="59"/>
      <c r="X551" s="60"/>
      <c r="Y551" s="59"/>
      <c r="Z551" s="59"/>
    </row>
    <row r="552" ht="15.75" customHeight="1">
      <c r="V552" s="59"/>
      <c r="W552" s="59"/>
      <c r="X552" s="60"/>
      <c r="Y552" s="59"/>
      <c r="Z552" s="59"/>
    </row>
    <row r="553" ht="15.75" customHeight="1">
      <c r="V553" s="59"/>
      <c r="W553" s="59"/>
      <c r="X553" s="60"/>
      <c r="Y553" s="59"/>
      <c r="Z553" s="59"/>
    </row>
    <row r="554" ht="15.75" customHeight="1">
      <c r="V554" s="59"/>
      <c r="W554" s="59"/>
      <c r="X554" s="60"/>
      <c r="Y554" s="59"/>
      <c r="Z554" s="59"/>
    </row>
    <row r="555" ht="15.75" customHeight="1">
      <c r="V555" s="59"/>
      <c r="W555" s="59"/>
      <c r="X555" s="60"/>
      <c r="Y555" s="59"/>
      <c r="Z555" s="59"/>
    </row>
    <row r="556" ht="15.75" customHeight="1">
      <c r="V556" s="59"/>
      <c r="W556" s="59"/>
      <c r="X556" s="60"/>
      <c r="Y556" s="59"/>
      <c r="Z556" s="59"/>
    </row>
    <row r="557" ht="15.75" customHeight="1">
      <c r="V557" s="59"/>
      <c r="W557" s="59"/>
      <c r="X557" s="60"/>
      <c r="Y557" s="59"/>
      <c r="Z557" s="59"/>
    </row>
    <row r="558" ht="15.75" customHeight="1">
      <c r="V558" s="59"/>
      <c r="W558" s="59"/>
      <c r="X558" s="60"/>
      <c r="Y558" s="59"/>
      <c r="Z558" s="59"/>
    </row>
    <row r="559" ht="15.75" customHeight="1">
      <c r="V559" s="59"/>
      <c r="W559" s="59"/>
      <c r="X559" s="60"/>
      <c r="Y559" s="59"/>
      <c r="Z559" s="59"/>
    </row>
    <row r="560" ht="15.75" customHeight="1">
      <c r="V560" s="59"/>
      <c r="W560" s="59"/>
      <c r="X560" s="60"/>
      <c r="Y560" s="59"/>
      <c r="Z560" s="59"/>
    </row>
    <row r="561" ht="15.75" customHeight="1">
      <c r="V561" s="59"/>
      <c r="W561" s="59"/>
      <c r="X561" s="60"/>
      <c r="Y561" s="59"/>
      <c r="Z561" s="59"/>
    </row>
    <row r="562" ht="15.75" customHeight="1">
      <c r="V562" s="59"/>
      <c r="W562" s="59"/>
      <c r="X562" s="60"/>
      <c r="Y562" s="59"/>
      <c r="Z562" s="59"/>
    </row>
    <row r="563" ht="15.75" customHeight="1">
      <c r="V563" s="59"/>
      <c r="W563" s="59"/>
      <c r="X563" s="60"/>
      <c r="Y563" s="59"/>
      <c r="Z563" s="59"/>
    </row>
    <row r="564" ht="15.75" customHeight="1">
      <c r="V564" s="59"/>
      <c r="W564" s="59"/>
      <c r="X564" s="60"/>
      <c r="Y564" s="59"/>
      <c r="Z564" s="59"/>
    </row>
    <row r="565" ht="15.75" customHeight="1">
      <c r="V565" s="59"/>
      <c r="W565" s="59"/>
      <c r="X565" s="60"/>
      <c r="Y565" s="59"/>
      <c r="Z565" s="59"/>
    </row>
    <row r="566" ht="15.75" customHeight="1">
      <c r="V566" s="59"/>
      <c r="W566" s="59"/>
      <c r="X566" s="60"/>
      <c r="Y566" s="59"/>
      <c r="Z566" s="59"/>
    </row>
    <row r="567" ht="15.75" customHeight="1">
      <c r="V567" s="59"/>
      <c r="W567" s="59"/>
      <c r="X567" s="60"/>
      <c r="Y567" s="59"/>
      <c r="Z567" s="59"/>
    </row>
    <row r="568" ht="15.75" customHeight="1">
      <c r="V568" s="59"/>
      <c r="W568" s="59"/>
      <c r="X568" s="60"/>
      <c r="Y568" s="59"/>
      <c r="Z568" s="59"/>
    </row>
    <row r="569" ht="15.75" customHeight="1">
      <c r="V569" s="59"/>
      <c r="W569" s="59"/>
      <c r="X569" s="60"/>
      <c r="Y569" s="59"/>
      <c r="Z569" s="59"/>
    </row>
    <row r="570" ht="15.75" customHeight="1">
      <c r="V570" s="59"/>
      <c r="W570" s="59"/>
      <c r="X570" s="60"/>
      <c r="Y570" s="59"/>
      <c r="Z570" s="59"/>
    </row>
    <row r="571" ht="15.75" customHeight="1">
      <c r="V571" s="59"/>
      <c r="W571" s="59"/>
      <c r="X571" s="60"/>
      <c r="Y571" s="59"/>
      <c r="Z571" s="59"/>
    </row>
    <row r="572" ht="15.75" customHeight="1">
      <c r="V572" s="59"/>
      <c r="W572" s="59"/>
      <c r="X572" s="60"/>
      <c r="Y572" s="59"/>
      <c r="Z572" s="59"/>
    </row>
    <row r="573" ht="15.75" customHeight="1">
      <c r="V573" s="59"/>
      <c r="W573" s="59"/>
      <c r="X573" s="60"/>
      <c r="Y573" s="59"/>
      <c r="Z573" s="59"/>
    </row>
    <row r="574" ht="15.75" customHeight="1">
      <c r="V574" s="59"/>
      <c r="W574" s="59"/>
      <c r="X574" s="60"/>
      <c r="Y574" s="59"/>
      <c r="Z574" s="59"/>
    </row>
    <row r="575" ht="15.75" customHeight="1">
      <c r="V575" s="59"/>
      <c r="W575" s="59"/>
      <c r="X575" s="60"/>
      <c r="Y575" s="59"/>
      <c r="Z575" s="59"/>
    </row>
    <row r="576" ht="15.75" customHeight="1">
      <c r="V576" s="59"/>
      <c r="W576" s="59"/>
      <c r="X576" s="60"/>
      <c r="Y576" s="59"/>
      <c r="Z576" s="59"/>
    </row>
    <row r="577" ht="15.75" customHeight="1">
      <c r="V577" s="59"/>
      <c r="W577" s="59"/>
      <c r="X577" s="60"/>
      <c r="Y577" s="59"/>
      <c r="Z577" s="59"/>
    </row>
    <row r="578" ht="15.75" customHeight="1">
      <c r="V578" s="59"/>
      <c r="W578" s="59"/>
      <c r="X578" s="60"/>
      <c r="Y578" s="59"/>
      <c r="Z578" s="59"/>
    </row>
    <row r="579" ht="15.75" customHeight="1">
      <c r="V579" s="59"/>
      <c r="W579" s="59"/>
      <c r="X579" s="60"/>
      <c r="Y579" s="59"/>
      <c r="Z579" s="59"/>
    </row>
    <row r="580" ht="15.75" customHeight="1">
      <c r="V580" s="59"/>
      <c r="W580" s="59"/>
      <c r="X580" s="60"/>
      <c r="Y580" s="59"/>
      <c r="Z580" s="59"/>
    </row>
    <row r="581" ht="15.75" customHeight="1">
      <c r="V581" s="59"/>
      <c r="W581" s="59"/>
      <c r="X581" s="60"/>
      <c r="Y581" s="59"/>
      <c r="Z581" s="59"/>
    </row>
    <row r="582" ht="15.75" customHeight="1">
      <c r="V582" s="59"/>
      <c r="W582" s="59"/>
      <c r="X582" s="60"/>
      <c r="Y582" s="59"/>
      <c r="Z582" s="59"/>
    </row>
    <row r="583" ht="15.75" customHeight="1">
      <c r="V583" s="59"/>
      <c r="W583" s="59"/>
      <c r="X583" s="60"/>
      <c r="Y583" s="59"/>
      <c r="Z583" s="59"/>
    </row>
    <row r="584" ht="15.75" customHeight="1">
      <c r="V584" s="59"/>
      <c r="W584" s="59"/>
      <c r="X584" s="60"/>
      <c r="Y584" s="59"/>
      <c r="Z584" s="59"/>
    </row>
    <row r="585" ht="15.75" customHeight="1">
      <c r="V585" s="59"/>
      <c r="W585" s="59"/>
      <c r="X585" s="60"/>
      <c r="Y585" s="59"/>
      <c r="Z585" s="59"/>
    </row>
    <row r="586" ht="15.75" customHeight="1">
      <c r="V586" s="59"/>
      <c r="W586" s="59"/>
      <c r="X586" s="60"/>
      <c r="Y586" s="59"/>
      <c r="Z586" s="59"/>
    </row>
    <row r="587" ht="15.75" customHeight="1">
      <c r="V587" s="59"/>
      <c r="W587" s="59"/>
      <c r="X587" s="60"/>
      <c r="Y587" s="59"/>
      <c r="Z587" s="59"/>
    </row>
    <row r="588" ht="15.75" customHeight="1">
      <c r="V588" s="59"/>
      <c r="W588" s="59"/>
      <c r="X588" s="60"/>
      <c r="Y588" s="59"/>
      <c r="Z588" s="59"/>
    </row>
    <row r="589" ht="15.75" customHeight="1">
      <c r="V589" s="59"/>
      <c r="W589" s="59"/>
      <c r="X589" s="60"/>
      <c r="Y589" s="59"/>
      <c r="Z589" s="59"/>
    </row>
    <row r="590" ht="15.75" customHeight="1">
      <c r="V590" s="59"/>
      <c r="W590" s="59"/>
      <c r="X590" s="60"/>
      <c r="Y590" s="59"/>
      <c r="Z590" s="59"/>
    </row>
    <row r="591" ht="15.75" customHeight="1">
      <c r="V591" s="59"/>
      <c r="W591" s="59"/>
      <c r="X591" s="60"/>
      <c r="Y591" s="59"/>
      <c r="Z591" s="59"/>
    </row>
    <row r="592" ht="15.75" customHeight="1">
      <c r="V592" s="59"/>
      <c r="W592" s="59"/>
      <c r="X592" s="60"/>
      <c r="Y592" s="59"/>
      <c r="Z592" s="59"/>
    </row>
    <row r="593" ht="15.75" customHeight="1">
      <c r="V593" s="59"/>
      <c r="W593" s="59"/>
      <c r="X593" s="60"/>
      <c r="Y593" s="59"/>
      <c r="Z593" s="59"/>
    </row>
    <row r="594" ht="15.75" customHeight="1">
      <c r="V594" s="59"/>
      <c r="W594" s="59"/>
      <c r="X594" s="60"/>
      <c r="Y594" s="59"/>
      <c r="Z594" s="59"/>
    </row>
    <row r="595" ht="15.75" customHeight="1">
      <c r="V595" s="59"/>
      <c r="W595" s="59"/>
      <c r="X595" s="60"/>
      <c r="Y595" s="59"/>
      <c r="Z595" s="59"/>
    </row>
    <row r="596" ht="15.75" customHeight="1">
      <c r="V596" s="59"/>
      <c r="W596" s="59"/>
      <c r="X596" s="60"/>
      <c r="Y596" s="59"/>
      <c r="Z596" s="59"/>
    </row>
    <row r="597" ht="15.75" customHeight="1">
      <c r="V597" s="59"/>
      <c r="W597" s="59"/>
      <c r="X597" s="60"/>
      <c r="Y597" s="59"/>
      <c r="Z597" s="59"/>
    </row>
    <row r="598" ht="15.75" customHeight="1">
      <c r="V598" s="59"/>
      <c r="W598" s="59"/>
      <c r="X598" s="60"/>
      <c r="Y598" s="59"/>
      <c r="Z598" s="59"/>
    </row>
    <row r="599" ht="15.75" customHeight="1">
      <c r="V599" s="59"/>
      <c r="W599" s="59"/>
      <c r="X599" s="60"/>
      <c r="Y599" s="59"/>
      <c r="Z599" s="59"/>
    </row>
    <row r="600" ht="15.75" customHeight="1">
      <c r="V600" s="59"/>
      <c r="W600" s="59"/>
      <c r="X600" s="60"/>
      <c r="Y600" s="59"/>
      <c r="Z600" s="59"/>
    </row>
    <row r="601" ht="15.75" customHeight="1">
      <c r="V601" s="59"/>
      <c r="W601" s="59"/>
      <c r="X601" s="60"/>
      <c r="Y601" s="59"/>
      <c r="Z601" s="59"/>
    </row>
    <row r="602" ht="15.75" customHeight="1">
      <c r="V602" s="59"/>
      <c r="W602" s="59"/>
      <c r="X602" s="60"/>
      <c r="Y602" s="59"/>
      <c r="Z602" s="59"/>
    </row>
    <row r="603" ht="15.75" customHeight="1">
      <c r="V603" s="59"/>
      <c r="W603" s="59"/>
      <c r="X603" s="60"/>
      <c r="Y603" s="59"/>
      <c r="Z603" s="59"/>
    </row>
    <row r="604" ht="15.75" customHeight="1">
      <c r="V604" s="59"/>
      <c r="W604" s="59"/>
      <c r="X604" s="60"/>
      <c r="Y604" s="59"/>
      <c r="Z604" s="59"/>
    </row>
    <row r="605" ht="15.75" customHeight="1">
      <c r="V605" s="59"/>
      <c r="W605" s="59"/>
      <c r="X605" s="60"/>
      <c r="Y605" s="59"/>
      <c r="Z605" s="59"/>
    </row>
    <row r="606" ht="15.75" customHeight="1">
      <c r="V606" s="59"/>
      <c r="W606" s="59"/>
      <c r="X606" s="60"/>
      <c r="Y606" s="59"/>
      <c r="Z606" s="59"/>
    </row>
    <row r="607" ht="15.75" customHeight="1">
      <c r="V607" s="59"/>
      <c r="W607" s="59"/>
      <c r="X607" s="60"/>
      <c r="Y607" s="59"/>
      <c r="Z607" s="59"/>
    </row>
    <row r="608" ht="15.75" customHeight="1">
      <c r="V608" s="59"/>
      <c r="W608" s="59"/>
      <c r="X608" s="60"/>
      <c r="Y608" s="59"/>
      <c r="Z608" s="59"/>
    </row>
    <row r="609" ht="15.75" customHeight="1">
      <c r="V609" s="59"/>
      <c r="W609" s="59"/>
      <c r="X609" s="60"/>
      <c r="Y609" s="59"/>
      <c r="Z609" s="59"/>
    </row>
    <row r="610" ht="15.75" customHeight="1">
      <c r="V610" s="59"/>
      <c r="W610" s="59"/>
      <c r="X610" s="60"/>
      <c r="Y610" s="59"/>
      <c r="Z610" s="59"/>
    </row>
    <row r="611" ht="15.75" customHeight="1">
      <c r="V611" s="59"/>
      <c r="W611" s="59"/>
      <c r="X611" s="60"/>
      <c r="Y611" s="59"/>
      <c r="Z611" s="59"/>
    </row>
    <row r="612" ht="15.75" customHeight="1">
      <c r="V612" s="59"/>
      <c r="W612" s="59"/>
      <c r="X612" s="60"/>
      <c r="Y612" s="59"/>
      <c r="Z612" s="59"/>
    </row>
    <row r="613" ht="15.75" customHeight="1">
      <c r="V613" s="59"/>
      <c r="W613" s="59"/>
      <c r="X613" s="60"/>
      <c r="Y613" s="59"/>
      <c r="Z613" s="59"/>
    </row>
    <row r="614" ht="15.75" customHeight="1">
      <c r="V614" s="59"/>
      <c r="W614" s="59"/>
      <c r="X614" s="60"/>
      <c r="Y614" s="59"/>
      <c r="Z614" s="59"/>
    </row>
    <row r="615" ht="15.75" customHeight="1">
      <c r="V615" s="59"/>
      <c r="W615" s="59"/>
      <c r="X615" s="60"/>
      <c r="Y615" s="59"/>
      <c r="Z615" s="59"/>
    </row>
    <row r="616" ht="15.75" customHeight="1">
      <c r="V616" s="59"/>
      <c r="W616" s="59"/>
      <c r="X616" s="60"/>
      <c r="Y616" s="59"/>
      <c r="Z616" s="59"/>
    </row>
    <row r="617" ht="15.75" customHeight="1">
      <c r="V617" s="59"/>
      <c r="W617" s="59"/>
      <c r="X617" s="60"/>
      <c r="Y617" s="59"/>
      <c r="Z617" s="59"/>
    </row>
    <row r="618" ht="15.75" customHeight="1">
      <c r="V618" s="59"/>
      <c r="W618" s="59"/>
      <c r="X618" s="60"/>
      <c r="Y618" s="59"/>
      <c r="Z618" s="59"/>
    </row>
    <row r="619" ht="15.75" customHeight="1">
      <c r="V619" s="59"/>
      <c r="W619" s="59"/>
      <c r="X619" s="60"/>
      <c r="Y619" s="59"/>
      <c r="Z619" s="59"/>
    </row>
    <row r="620" ht="15.75" customHeight="1">
      <c r="V620" s="59"/>
      <c r="W620" s="59"/>
      <c r="X620" s="60"/>
      <c r="Y620" s="59"/>
      <c r="Z620" s="59"/>
    </row>
    <row r="621" ht="15.75" customHeight="1">
      <c r="V621" s="59"/>
      <c r="W621" s="59"/>
      <c r="X621" s="60"/>
      <c r="Y621" s="59"/>
      <c r="Z621" s="59"/>
    </row>
    <row r="622" ht="15.75" customHeight="1">
      <c r="V622" s="59"/>
      <c r="W622" s="59"/>
      <c r="X622" s="60"/>
      <c r="Y622" s="59"/>
      <c r="Z622" s="59"/>
    </row>
    <row r="623" ht="15.75" customHeight="1">
      <c r="V623" s="59"/>
      <c r="W623" s="59"/>
      <c r="X623" s="60"/>
      <c r="Y623" s="59"/>
      <c r="Z623" s="59"/>
    </row>
    <row r="624" ht="15.75" customHeight="1">
      <c r="V624" s="59"/>
      <c r="W624" s="59"/>
      <c r="X624" s="60"/>
      <c r="Y624" s="59"/>
      <c r="Z624" s="59"/>
    </row>
    <row r="625" ht="15.75" customHeight="1">
      <c r="V625" s="59"/>
      <c r="W625" s="59"/>
      <c r="X625" s="60"/>
      <c r="Y625" s="59"/>
      <c r="Z625" s="59"/>
    </row>
    <row r="626" ht="15.75" customHeight="1">
      <c r="V626" s="59"/>
      <c r="W626" s="59"/>
      <c r="X626" s="60"/>
      <c r="Y626" s="59"/>
      <c r="Z626" s="59"/>
    </row>
    <row r="627" ht="15.75" customHeight="1">
      <c r="V627" s="59"/>
      <c r="W627" s="59"/>
      <c r="X627" s="60"/>
      <c r="Y627" s="59"/>
      <c r="Z627" s="59"/>
    </row>
    <row r="628" ht="15.75" customHeight="1">
      <c r="V628" s="59"/>
      <c r="W628" s="59"/>
      <c r="X628" s="60"/>
      <c r="Y628" s="59"/>
      <c r="Z628" s="59"/>
    </row>
    <row r="629" ht="15.75" customHeight="1">
      <c r="V629" s="59"/>
      <c r="W629" s="59"/>
      <c r="X629" s="60"/>
      <c r="Y629" s="59"/>
      <c r="Z629" s="59"/>
    </row>
    <row r="630" ht="15.75" customHeight="1">
      <c r="V630" s="59"/>
      <c r="W630" s="59"/>
      <c r="X630" s="60"/>
      <c r="Y630" s="59"/>
      <c r="Z630" s="59"/>
    </row>
    <row r="631" ht="15.75" customHeight="1">
      <c r="V631" s="59"/>
      <c r="W631" s="59"/>
      <c r="X631" s="60"/>
      <c r="Y631" s="59"/>
      <c r="Z631" s="59"/>
    </row>
    <row r="632" ht="15.75" customHeight="1">
      <c r="V632" s="59"/>
      <c r="W632" s="59"/>
      <c r="X632" s="60"/>
      <c r="Y632" s="59"/>
      <c r="Z632" s="59"/>
    </row>
    <row r="633" ht="15.75" customHeight="1">
      <c r="V633" s="59"/>
      <c r="W633" s="59"/>
      <c r="X633" s="60"/>
      <c r="Y633" s="59"/>
      <c r="Z633" s="59"/>
    </row>
    <row r="634" ht="15.75" customHeight="1">
      <c r="V634" s="59"/>
      <c r="W634" s="59"/>
      <c r="X634" s="60"/>
      <c r="Y634" s="59"/>
      <c r="Z634" s="59"/>
    </row>
    <row r="635" ht="15.75" customHeight="1">
      <c r="V635" s="59"/>
      <c r="W635" s="59"/>
      <c r="X635" s="60"/>
      <c r="Y635" s="59"/>
      <c r="Z635" s="59"/>
    </row>
    <row r="636" ht="15.75" customHeight="1">
      <c r="V636" s="59"/>
      <c r="W636" s="59"/>
      <c r="X636" s="60"/>
      <c r="Y636" s="59"/>
      <c r="Z636" s="59"/>
    </row>
    <row r="637" ht="15.75" customHeight="1">
      <c r="V637" s="59"/>
      <c r="W637" s="59"/>
      <c r="X637" s="60"/>
      <c r="Y637" s="59"/>
      <c r="Z637" s="59"/>
    </row>
    <row r="638" ht="15.75" customHeight="1">
      <c r="V638" s="59"/>
      <c r="W638" s="59"/>
      <c r="X638" s="60"/>
      <c r="Y638" s="59"/>
      <c r="Z638" s="59"/>
    </row>
    <row r="639" ht="15.75" customHeight="1">
      <c r="V639" s="59"/>
      <c r="W639" s="59"/>
      <c r="X639" s="60"/>
      <c r="Y639" s="59"/>
      <c r="Z639" s="59"/>
    </row>
    <row r="640" ht="15.75" customHeight="1">
      <c r="V640" s="59"/>
      <c r="W640" s="59"/>
      <c r="X640" s="60"/>
      <c r="Y640" s="59"/>
      <c r="Z640" s="59"/>
    </row>
    <row r="641" ht="15.75" customHeight="1">
      <c r="V641" s="59"/>
      <c r="W641" s="59"/>
      <c r="X641" s="60"/>
      <c r="Y641" s="59"/>
      <c r="Z641" s="59"/>
    </row>
    <row r="642" ht="15.75" customHeight="1">
      <c r="V642" s="59"/>
      <c r="W642" s="59"/>
      <c r="X642" s="60"/>
      <c r="Y642" s="59"/>
      <c r="Z642" s="59"/>
    </row>
    <row r="643" ht="15.75" customHeight="1">
      <c r="V643" s="59"/>
      <c r="W643" s="59"/>
      <c r="X643" s="60"/>
      <c r="Y643" s="59"/>
      <c r="Z643" s="59"/>
    </row>
    <row r="644" ht="15.75" customHeight="1">
      <c r="V644" s="59"/>
      <c r="W644" s="59"/>
      <c r="X644" s="60"/>
      <c r="Y644" s="59"/>
      <c r="Z644" s="59"/>
    </row>
    <row r="645" ht="15.75" customHeight="1">
      <c r="V645" s="59"/>
      <c r="W645" s="59"/>
      <c r="X645" s="60"/>
      <c r="Y645" s="59"/>
      <c r="Z645" s="59"/>
    </row>
    <row r="646" ht="15.75" customHeight="1">
      <c r="V646" s="59"/>
      <c r="W646" s="59"/>
      <c r="X646" s="60"/>
      <c r="Y646" s="59"/>
      <c r="Z646" s="59"/>
    </row>
    <row r="647" ht="15.75" customHeight="1">
      <c r="V647" s="59"/>
      <c r="W647" s="59"/>
      <c r="X647" s="60"/>
      <c r="Y647" s="59"/>
      <c r="Z647" s="59"/>
    </row>
    <row r="648" ht="15.75" customHeight="1">
      <c r="V648" s="59"/>
      <c r="W648" s="59"/>
      <c r="X648" s="60"/>
      <c r="Y648" s="59"/>
      <c r="Z648" s="59"/>
    </row>
    <row r="649" ht="15.75" customHeight="1">
      <c r="V649" s="59"/>
      <c r="W649" s="59"/>
      <c r="X649" s="60"/>
      <c r="Y649" s="59"/>
      <c r="Z649" s="59"/>
    </row>
    <row r="650" ht="15.75" customHeight="1">
      <c r="V650" s="59"/>
      <c r="W650" s="59"/>
      <c r="X650" s="60"/>
      <c r="Y650" s="59"/>
      <c r="Z650" s="59"/>
    </row>
    <row r="651" ht="15.75" customHeight="1">
      <c r="V651" s="59"/>
      <c r="W651" s="59"/>
      <c r="X651" s="60"/>
      <c r="Y651" s="59"/>
      <c r="Z651" s="59"/>
    </row>
    <row r="652" ht="15.75" customHeight="1">
      <c r="V652" s="59"/>
      <c r="W652" s="59"/>
      <c r="X652" s="60"/>
      <c r="Y652" s="59"/>
      <c r="Z652" s="59"/>
    </row>
    <row r="653" ht="15.75" customHeight="1">
      <c r="V653" s="59"/>
      <c r="W653" s="59"/>
      <c r="X653" s="60"/>
      <c r="Y653" s="59"/>
      <c r="Z653" s="59"/>
    </row>
    <row r="654" ht="15.75" customHeight="1">
      <c r="V654" s="59"/>
      <c r="W654" s="59"/>
      <c r="X654" s="60"/>
      <c r="Y654" s="59"/>
      <c r="Z654" s="59"/>
    </row>
    <row r="655" ht="15.75" customHeight="1">
      <c r="V655" s="59"/>
      <c r="W655" s="59"/>
      <c r="X655" s="60"/>
      <c r="Y655" s="59"/>
      <c r="Z655" s="59"/>
    </row>
    <row r="656" ht="15.75" customHeight="1">
      <c r="V656" s="59"/>
      <c r="W656" s="59"/>
      <c r="X656" s="60"/>
      <c r="Y656" s="59"/>
      <c r="Z656" s="59"/>
    </row>
    <row r="657" ht="15.75" customHeight="1">
      <c r="V657" s="59"/>
      <c r="W657" s="59"/>
      <c r="X657" s="60"/>
      <c r="Y657" s="59"/>
      <c r="Z657" s="59"/>
    </row>
    <row r="658" ht="15.75" customHeight="1">
      <c r="V658" s="59"/>
      <c r="W658" s="59"/>
      <c r="X658" s="60"/>
      <c r="Y658" s="59"/>
      <c r="Z658" s="59"/>
    </row>
    <row r="659" ht="15.75" customHeight="1">
      <c r="V659" s="59"/>
      <c r="W659" s="59"/>
      <c r="X659" s="60"/>
      <c r="Y659" s="59"/>
      <c r="Z659" s="59"/>
    </row>
    <row r="660" ht="15.75" customHeight="1">
      <c r="V660" s="59"/>
      <c r="W660" s="59"/>
      <c r="X660" s="60"/>
      <c r="Y660" s="59"/>
      <c r="Z660" s="59"/>
    </row>
    <row r="661" ht="15.75" customHeight="1">
      <c r="V661" s="59"/>
      <c r="W661" s="59"/>
      <c r="X661" s="60"/>
      <c r="Y661" s="59"/>
      <c r="Z661" s="59"/>
    </row>
    <row r="662" ht="15.75" customHeight="1">
      <c r="V662" s="59"/>
      <c r="W662" s="59"/>
      <c r="X662" s="60"/>
      <c r="Y662" s="59"/>
      <c r="Z662" s="59"/>
    </row>
    <row r="663" ht="15.75" customHeight="1">
      <c r="V663" s="59"/>
      <c r="W663" s="59"/>
      <c r="X663" s="60"/>
      <c r="Y663" s="59"/>
      <c r="Z663" s="59"/>
    </row>
    <row r="664" ht="15.75" customHeight="1">
      <c r="V664" s="59"/>
      <c r="W664" s="59"/>
      <c r="X664" s="60"/>
      <c r="Y664" s="59"/>
      <c r="Z664" s="59"/>
    </row>
    <row r="665" ht="15.75" customHeight="1">
      <c r="V665" s="59"/>
      <c r="W665" s="59"/>
      <c r="X665" s="60"/>
      <c r="Y665" s="59"/>
      <c r="Z665" s="59"/>
    </row>
    <row r="666" ht="15.75" customHeight="1">
      <c r="V666" s="59"/>
      <c r="W666" s="59"/>
      <c r="X666" s="60"/>
      <c r="Y666" s="59"/>
      <c r="Z666" s="59"/>
    </row>
    <row r="667" ht="15.75" customHeight="1">
      <c r="V667" s="59"/>
      <c r="W667" s="59"/>
      <c r="X667" s="60"/>
      <c r="Y667" s="59"/>
      <c r="Z667" s="59"/>
    </row>
    <row r="668" ht="15.75" customHeight="1">
      <c r="V668" s="59"/>
      <c r="W668" s="59"/>
      <c r="X668" s="60"/>
      <c r="Y668" s="59"/>
      <c r="Z668" s="59"/>
    </row>
    <row r="669" ht="15.75" customHeight="1">
      <c r="V669" s="59"/>
      <c r="W669" s="59"/>
      <c r="X669" s="60"/>
      <c r="Y669" s="59"/>
      <c r="Z669" s="59"/>
    </row>
    <row r="670" ht="15.75" customHeight="1">
      <c r="V670" s="59"/>
      <c r="W670" s="59"/>
      <c r="X670" s="60"/>
      <c r="Y670" s="59"/>
      <c r="Z670" s="59"/>
    </row>
    <row r="671" ht="15.75" customHeight="1">
      <c r="V671" s="59"/>
      <c r="W671" s="59"/>
      <c r="X671" s="60"/>
      <c r="Y671" s="59"/>
      <c r="Z671" s="59"/>
    </row>
    <row r="672" ht="15.75" customHeight="1">
      <c r="V672" s="59"/>
      <c r="W672" s="59"/>
      <c r="X672" s="60"/>
      <c r="Y672" s="59"/>
      <c r="Z672" s="59"/>
    </row>
    <row r="673" ht="15.75" customHeight="1">
      <c r="V673" s="59"/>
      <c r="W673" s="59"/>
      <c r="X673" s="60"/>
      <c r="Y673" s="59"/>
      <c r="Z673" s="59"/>
    </row>
    <row r="674" ht="15.75" customHeight="1">
      <c r="V674" s="59"/>
      <c r="W674" s="59"/>
      <c r="X674" s="60"/>
      <c r="Y674" s="59"/>
      <c r="Z674" s="59"/>
    </row>
    <row r="675" ht="15.75" customHeight="1">
      <c r="V675" s="59"/>
      <c r="W675" s="59"/>
      <c r="X675" s="60"/>
      <c r="Y675" s="59"/>
      <c r="Z675" s="59"/>
    </row>
    <row r="676" ht="15.75" customHeight="1">
      <c r="V676" s="59"/>
      <c r="W676" s="59"/>
      <c r="X676" s="60"/>
      <c r="Y676" s="59"/>
      <c r="Z676" s="59"/>
    </row>
    <row r="677" ht="15.75" customHeight="1">
      <c r="V677" s="59"/>
      <c r="W677" s="59"/>
      <c r="X677" s="60"/>
      <c r="Y677" s="59"/>
      <c r="Z677" s="59"/>
    </row>
    <row r="678" ht="15.75" customHeight="1">
      <c r="V678" s="59"/>
      <c r="W678" s="59"/>
      <c r="X678" s="60"/>
      <c r="Y678" s="59"/>
      <c r="Z678" s="59"/>
    </row>
    <row r="679" ht="15.75" customHeight="1">
      <c r="V679" s="59"/>
      <c r="W679" s="59"/>
      <c r="X679" s="60"/>
      <c r="Y679" s="59"/>
      <c r="Z679" s="59"/>
    </row>
    <row r="680" ht="15.75" customHeight="1">
      <c r="V680" s="59"/>
      <c r="W680" s="59"/>
      <c r="X680" s="60"/>
      <c r="Y680" s="59"/>
      <c r="Z680" s="59"/>
    </row>
    <row r="681" ht="15.75" customHeight="1">
      <c r="V681" s="59"/>
      <c r="W681" s="59"/>
      <c r="X681" s="60"/>
      <c r="Y681" s="59"/>
      <c r="Z681" s="59"/>
    </row>
    <row r="682" ht="15.75" customHeight="1">
      <c r="V682" s="59"/>
      <c r="W682" s="59"/>
      <c r="X682" s="60"/>
      <c r="Y682" s="59"/>
      <c r="Z682" s="59"/>
    </row>
    <row r="683" ht="15.75" customHeight="1">
      <c r="V683" s="59"/>
      <c r="W683" s="59"/>
      <c r="X683" s="60"/>
      <c r="Y683" s="59"/>
      <c r="Z683" s="59"/>
    </row>
    <row r="684" ht="15.75" customHeight="1">
      <c r="V684" s="59"/>
      <c r="W684" s="59"/>
      <c r="X684" s="60"/>
      <c r="Y684" s="59"/>
      <c r="Z684" s="59"/>
    </row>
    <row r="685" ht="15.75" customHeight="1">
      <c r="V685" s="59"/>
      <c r="W685" s="59"/>
      <c r="X685" s="60"/>
      <c r="Y685" s="59"/>
      <c r="Z685" s="59"/>
    </row>
    <row r="686" ht="15.75" customHeight="1">
      <c r="V686" s="59"/>
      <c r="W686" s="59"/>
      <c r="X686" s="60"/>
      <c r="Y686" s="59"/>
      <c r="Z686" s="59"/>
    </row>
    <row r="687" ht="15.75" customHeight="1">
      <c r="V687" s="59"/>
      <c r="W687" s="59"/>
      <c r="X687" s="60"/>
      <c r="Y687" s="59"/>
      <c r="Z687" s="59"/>
    </row>
    <row r="688" ht="15.75" customHeight="1">
      <c r="V688" s="59"/>
      <c r="W688" s="59"/>
      <c r="X688" s="60"/>
      <c r="Y688" s="59"/>
      <c r="Z688" s="59"/>
    </row>
    <row r="689" ht="15.75" customHeight="1">
      <c r="V689" s="59"/>
      <c r="W689" s="59"/>
      <c r="X689" s="60"/>
      <c r="Y689" s="59"/>
      <c r="Z689" s="59"/>
    </row>
    <row r="690" ht="15.75" customHeight="1">
      <c r="V690" s="59"/>
      <c r="W690" s="59"/>
      <c r="X690" s="60"/>
      <c r="Y690" s="59"/>
      <c r="Z690" s="59"/>
    </row>
    <row r="691" ht="15.75" customHeight="1">
      <c r="V691" s="59"/>
      <c r="W691" s="59"/>
      <c r="X691" s="60"/>
      <c r="Y691" s="59"/>
      <c r="Z691" s="59"/>
    </row>
    <row r="692" ht="15.75" customHeight="1">
      <c r="V692" s="59"/>
      <c r="W692" s="59"/>
      <c r="X692" s="60"/>
      <c r="Y692" s="59"/>
      <c r="Z692" s="59"/>
    </row>
    <row r="693" ht="15.75" customHeight="1">
      <c r="V693" s="59"/>
      <c r="W693" s="59"/>
      <c r="X693" s="60"/>
      <c r="Y693" s="59"/>
      <c r="Z693" s="59"/>
    </row>
    <row r="694" ht="15.75" customHeight="1">
      <c r="V694" s="59"/>
      <c r="W694" s="59"/>
      <c r="X694" s="60"/>
      <c r="Y694" s="59"/>
      <c r="Z694" s="59"/>
    </row>
    <row r="695" ht="15.75" customHeight="1">
      <c r="V695" s="59"/>
      <c r="W695" s="59"/>
      <c r="X695" s="60"/>
      <c r="Y695" s="59"/>
      <c r="Z695" s="59"/>
    </row>
    <row r="696" ht="15.75" customHeight="1">
      <c r="V696" s="59"/>
      <c r="W696" s="59"/>
      <c r="X696" s="60"/>
      <c r="Y696" s="59"/>
      <c r="Z696" s="59"/>
    </row>
    <row r="697" ht="15.75" customHeight="1">
      <c r="V697" s="59"/>
      <c r="W697" s="59"/>
      <c r="X697" s="60"/>
      <c r="Y697" s="59"/>
      <c r="Z697" s="59"/>
    </row>
    <row r="698" ht="15.75" customHeight="1">
      <c r="V698" s="59"/>
      <c r="W698" s="59"/>
      <c r="X698" s="60"/>
      <c r="Y698" s="59"/>
      <c r="Z698" s="59"/>
    </row>
    <row r="699" ht="15.75" customHeight="1">
      <c r="V699" s="59"/>
      <c r="W699" s="59"/>
      <c r="X699" s="60"/>
      <c r="Y699" s="59"/>
      <c r="Z699" s="59"/>
    </row>
    <row r="700" ht="15.75" customHeight="1">
      <c r="V700" s="59"/>
      <c r="W700" s="59"/>
      <c r="X700" s="60"/>
      <c r="Y700" s="59"/>
      <c r="Z700" s="59"/>
    </row>
    <row r="701" ht="15.75" customHeight="1">
      <c r="V701" s="59"/>
      <c r="W701" s="59"/>
      <c r="X701" s="60"/>
      <c r="Y701" s="59"/>
      <c r="Z701" s="59"/>
    </row>
    <row r="702" ht="15.75" customHeight="1">
      <c r="V702" s="59"/>
      <c r="W702" s="59"/>
      <c r="X702" s="60"/>
      <c r="Y702" s="59"/>
      <c r="Z702" s="59"/>
    </row>
    <row r="703" ht="15.75" customHeight="1">
      <c r="V703" s="59"/>
      <c r="W703" s="59"/>
      <c r="X703" s="60"/>
      <c r="Y703" s="59"/>
      <c r="Z703" s="59"/>
    </row>
    <row r="704" ht="15.75" customHeight="1">
      <c r="V704" s="59"/>
      <c r="W704" s="59"/>
      <c r="X704" s="60"/>
      <c r="Y704" s="59"/>
      <c r="Z704" s="59"/>
    </row>
    <row r="705" ht="15.75" customHeight="1">
      <c r="V705" s="59"/>
      <c r="W705" s="59"/>
      <c r="X705" s="60"/>
      <c r="Y705" s="59"/>
      <c r="Z705" s="59"/>
    </row>
    <row r="706" ht="15.75" customHeight="1">
      <c r="V706" s="59"/>
      <c r="W706" s="59"/>
      <c r="X706" s="60"/>
      <c r="Y706" s="59"/>
      <c r="Z706" s="59"/>
    </row>
    <row r="707" ht="15.75" customHeight="1">
      <c r="V707" s="59"/>
      <c r="W707" s="59"/>
      <c r="X707" s="60"/>
      <c r="Y707" s="59"/>
      <c r="Z707" s="59"/>
    </row>
    <row r="708" ht="15.75" customHeight="1">
      <c r="V708" s="59"/>
      <c r="W708" s="59"/>
      <c r="X708" s="60"/>
      <c r="Y708" s="59"/>
      <c r="Z708" s="59"/>
    </row>
    <row r="709" ht="15.75" customHeight="1">
      <c r="V709" s="59"/>
      <c r="W709" s="59"/>
      <c r="X709" s="60"/>
      <c r="Y709" s="59"/>
      <c r="Z709" s="59"/>
    </row>
    <row r="710" ht="15.75" customHeight="1">
      <c r="V710" s="59"/>
      <c r="W710" s="59"/>
      <c r="X710" s="60"/>
      <c r="Y710" s="59"/>
      <c r="Z710" s="59"/>
    </row>
    <row r="711" ht="15.75" customHeight="1">
      <c r="V711" s="59"/>
      <c r="W711" s="59"/>
      <c r="X711" s="60"/>
      <c r="Y711" s="59"/>
      <c r="Z711" s="59"/>
    </row>
    <row r="712" ht="15.75" customHeight="1">
      <c r="V712" s="59"/>
      <c r="W712" s="59"/>
      <c r="X712" s="60"/>
      <c r="Y712" s="59"/>
      <c r="Z712" s="59"/>
    </row>
    <row r="713" ht="15.75" customHeight="1">
      <c r="V713" s="59"/>
      <c r="W713" s="59"/>
      <c r="X713" s="60"/>
      <c r="Y713" s="59"/>
      <c r="Z713" s="59"/>
    </row>
    <row r="714" ht="15.75" customHeight="1">
      <c r="V714" s="59"/>
      <c r="W714" s="59"/>
      <c r="X714" s="60"/>
      <c r="Y714" s="59"/>
      <c r="Z714" s="59"/>
    </row>
    <row r="715" ht="15.75" customHeight="1">
      <c r="V715" s="59"/>
      <c r="W715" s="59"/>
      <c r="X715" s="60"/>
      <c r="Y715" s="59"/>
      <c r="Z715" s="59"/>
    </row>
    <row r="716" ht="15.75" customHeight="1">
      <c r="V716" s="59"/>
      <c r="W716" s="59"/>
      <c r="X716" s="60"/>
      <c r="Y716" s="59"/>
      <c r="Z716" s="59"/>
    </row>
    <row r="717" ht="15.75" customHeight="1">
      <c r="V717" s="59"/>
      <c r="W717" s="59"/>
      <c r="X717" s="60"/>
      <c r="Y717" s="59"/>
      <c r="Z717" s="59"/>
    </row>
    <row r="718" ht="15.75" customHeight="1">
      <c r="V718" s="59"/>
      <c r="W718" s="59"/>
      <c r="X718" s="60"/>
      <c r="Y718" s="59"/>
      <c r="Z718" s="59"/>
    </row>
    <row r="719" ht="15.75" customHeight="1">
      <c r="V719" s="59"/>
      <c r="W719" s="59"/>
      <c r="X719" s="60"/>
      <c r="Y719" s="59"/>
      <c r="Z719" s="59"/>
    </row>
    <row r="720" ht="15.75" customHeight="1">
      <c r="V720" s="59"/>
      <c r="W720" s="59"/>
      <c r="X720" s="60"/>
      <c r="Y720" s="59"/>
      <c r="Z720" s="59"/>
    </row>
    <row r="721" ht="15.75" customHeight="1">
      <c r="V721" s="59"/>
      <c r="W721" s="59"/>
      <c r="X721" s="60"/>
      <c r="Y721" s="59"/>
      <c r="Z721" s="59"/>
    </row>
    <row r="722" ht="15.75" customHeight="1">
      <c r="V722" s="59"/>
      <c r="W722" s="59"/>
      <c r="X722" s="60"/>
      <c r="Y722" s="59"/>
      <c r="Z722" s="59"/>
    </row>
    <row r="723" ht="15.75" customHeight="1">
      <c r="V723" s="59"/>
      <c r="W723" s="59"/>
      <c r="X723" s="60"/>
      <c r="Y723" s="59"/>
      <c r="Z723" s="59"/>
    </row>
    <row r="724" ht="15.75" customHeight="1">
      <c r="V724" s="59"/>
      <c r="W724" s="59"/>
      <c r="X724" s="60"/>
      <c r="Y724" s="59"/>
      <c r="Z724" s="59"/>
    </row>
    <row r="725" ht="15.75" customHeight="1">
      <c r="V725" s="59"/>
      <c r="W725" s="59"/>
      <c r="X725" s="60"/>
      <c r="Y725" s="59"/>
      <c r="Z725" s="59"/>
    </row>
    <row r="726" ht="15.75" customHeight="1">
      <c r="V726" s="59"/>
      <c r="W726" s="59"/>
      <c r="X726" s="60"/>
      <c r="Y726" s="59"/>
      <c r="Z726" s="59"/>
    </row>
    <row r="727" ht="15.75" customHeight="1">
      <c r="V727" s="59"/>
      <c r="W727" s="59"/>
      <c r="X727" s="60"/>
      <c r="Y727" s="59"/>
      <c r="Z727" s="59"/>
    </row>
    <row r="728" ht="15.75" customHeight="1">
      <c r="V728" s="59"/>
      <c r="W728" s="59"/>
      <c r="X728" s="60"/>
      <c r="Y728" s="59"/>
      <c r="Z728" s="59"/>
    </row>
    <row r="729" ht="15.75" customHeight="1">
      <c r="V729" s="59"/>
      <c r="W729" s="59"/>
      <c r="X729" s="60"/>
      <c r="Y729" s="59"/>
      <c r="Z729" s="59"/>
    </row>
    <row r="730" ht="15.75" customHeight="1">
      <c r="V730" s="59"/>
      <c r="W730" s="59"/>
      <c r="X730" s="60"/>
      <c r="Y730" s="59"/>
      <c r="Z730" s="59"/>
    </row>
    <row r="731" ht="15.75" customHeight="1">
      <c r="V731" s="59"/>
      <c r="W731" s="59"/>
      <c r="X731" s="60"/>
      <c r="Y731" s="59"/>
      <c r="Z731" s="59"/>
    </row>
    <row r="732" ht="15.75" customHeight="1">
      <c r="V732" s="59"/>
      <c r="W732" s="59"/>
      <c r="X732" s="60"/>
      <c r="Y732" s="59"/>
      <c r="Z732" s="59"/>
    </row>
    <row r="733" ht="15.75" customHeight="1">
      <c r="V733" s="59"/>
      <c r="W733" s="59"/>
      <c r="X733" s="60"/>
      <c r="Y733" s="59"/>
      <c r="Z733" s="59"/>
    </row>
    <row r="734" ht="15.75" customHeight="1">
      <c r="V734" s="59"/>
      <c r="W734" s="59"/>
      <c r="X734" s="60"/>
      <c r="Y734" s="59"/>
      <c r="Z734" s="59"/>
    </row>
    <row r="735" ht="15.75" customHeight="1">
      <c r="V735" s="59"/>
      <c r="W735" s="59"/>
      <c r="X735" s="60"/>
      <c r="Y735" s="59"/>
      <c r="Z735" s="59"/>
    </row>
    <row r="736" ht="15.75" customHeight="1">
      <c r="V736" s="59"/>
      <c r="W736" s="59"/>
      <c r="X736" s="60"/>
      <c r="Y736" s="59"/>
      <c r="Z736" s="59"/>
    </row>
    <row r="737" ht="15.75" customHeight="1">
      <c r="V737" s="59"/>
      <c r="W737" s="59"/>
      <c r="X737" s="60"/>
      <c r="Y737" s="59"/>
      <c r="Z737" s="59"/>
    </row>
    <row r="738" ht="15.75" customHeight="1">
      <c r="V738" s="59"/>
      <c r="W738" s="59"/>
      <c r="X738" s="60"/>
      <c r="Y738" s="59"/>
      <c r="Z738" s="59"/>
    </row>
    <row r="739" ht="15.75" customHeight="1">
      <c r="V739" s="59"/>
      <c r="W739" s="59"/>
      <c r="X739" s="60"/>
      <c r="Y739" s="59"/>
      <c r="Z739" s="59"/>
    </row>
    <row r="740" ht="15.75" customHeight="1">
      <c r="V740" s="59"/>
      <c r="W740" s="59"/>
      <c r="X740" s="60"/>
      <c r="Y740" s="59"/>
      <c r="Z740" s="59"/>
    </row>
    <row r="741" ht="15.75" customHeight="1">
      <c r="V741" s="59"/>
      <c r="W741" s="59"/>
      <c r="X741" s="60"/>
      <c r="Y741" s="59"/>
      <c r="Z741" s="59"/>
    </row>
    <row r="742" ht="15.75" customHeight="1">
      <c r="V742" s="59"/>
      <c r="W742" s="59"/>
      <c r="X742" s="60"/>
      <c r="Y742" s="59"/>
      <c r="Z742" s="59"/>
    </row>
    <row r="743" ht="15.75" customHeight="1">
      <c r="V743" s="59"/>
      <c r="W743" s="59"/>
      <c r="X743" s="60"/>
      <c r="Y743" s="59"/>
      <c r="Z743" s="59"/>
    </row>
    <row r="744" ht="15.75" customHeight="1">
      <c r="V744" s="59"/>
      <c r="W744" s="59"/>
      <c r="X744" s="60"/>
      <c r="Y744" s="59"/>
      <c r="Z744" s="59"/>
    </row>
    <row r="745" ht="15.75" customHeight="1">
      <c r="V745" s="59"/>
      <c r="W745" s="59"/>
      <c r="X745" s="60"/>
      <c r="Y745" s="59"/>
      <c r="Z745" s="59"/>
    </row>
    <row r="746" ht="15.75" customHeight="1">
      <c r="V746" s="59"/>
      <c r="W746" s="59"/>
      <c r="X746" s="60"/>
      <c r="Y746" s="59"/>
      <c r="Z746" s="59"/>
    </row>
    <row r="747" ht="15.75" customHeight="1">
      <c r="V747" s="59"/>
      <c r="W747" s="59"/>
      <c r="X747" s="60"/>
      <c r="Y747" s="59"/>
      <c r="Z747" s="59"/>
    </row>
    <row r="748" ht="15.75" customHeight="1">
      <c r="V748" s="59"/>
      <c r="W748" s="59"/>
      <c r="X748" s="60"/>
      <c r="Y748" s="59"/>
      <c r="Z748" s="59"/>
    </row>
    <row r="749" ht="15.75" customHeight="1">
      <c r="V749" s="59"/>
      <c r="W749" s="59"/>
      <c r="X749" s="60"/>
      <c r="Y749" s="59"/>
      <c r="Z749" s="59"/>
    </row>
    <row r="750" ht="15.75" customHeight="1">
      <c r="V750" s="59"/>
      <c r="W750" s="59"/>
      <c r="X750" s="60"/>
      <c r="Y750" s="59"/>
      <c r="Z750" s="59"/>
    </row>
    <row r="751" ht="15.75" customHeight="1">
      <c r="V751" s="59"/>
      <c r="W751" s="59"/>
      <c r="X751" s="60"/>
      <c r="Y751" s="59"/>
      <c r="Z751" s="59"/>
    </row>
    <row r="752" ht="15.75" customHeight="1">
      <c r="V752" s="59"/>
      <c r="W752" s="59"/>
      <c r="X752" s="60"/>
      <c r="Y752" s="59"/>
      <c r="Z752" s="59"/>
    </row>
    <row r="753" ht="15.75" customHeight="1">
      <c r="V753" s="59"/>
      <c r="W753" s="59"/>
      <c r="X753" s="60"/>
      <c r="Y753" s="59"/>
      <c r="Z753" s="59"/>
    </row>
    <row r="754" ht="15.75" customHeight="1">
      <c r="V754" s="59"/>
      <c r="W754" s="59"/>
      <c r="X754" s="60"/>
      <c r="Y754" s="59"/>
      <c r="Z754" s="59"/>
    </row>
    <row r="755" ht="15.75" customHeight="1">
      <c r="V755" s="59"/>
      <c r="W755" s="59"/>
      <c r="X755" s="60"/>
      <c r="Y755" s="59"/>
      <c r="Z755" s="59"/>
    </row>
    <row r="756" ht="15.75" customHeight="1">
      <c r="V756" s="59"/>
      <c r="W756" s="59"/>
      <c r="X756" s="60"/>
      <c r="Y756" s="59"/>
      <c r="Z756" s="59"/>
    </row>
    <row r="757" ht="15.75" customHeight="1">
      <c r="V757" s="59"/>
      <c r="W757" s="59"/>
      <c r="X757" s="60"/>
      <c r="Y757" s="59"/>
      <c r="Z757" s="59"/>
    </row>
    <row r="758" ht="15.75" customHeight="1">
      <c r="V758" s="59"/>
      <c r="W758" s="59"/>
      <c r="X758" s="60"/>
      <c r="Y758" s="59"/>
      <c r="Z758" s="59"/>
    </row>
    <row r="759" ht="15.75" customHeight="1">
      <c r="V759" s="59"/>
      <c r="W759" s="59"/>
      <c r="X759" s="60"/>
      <c r="Y759" s="59"/>
      <c r="Z759" s="59"/>
    </row>
    <row r="760" ht="15.75" customHeight="1">
      <c r="V760" s="59"/>
      <c r="W760" s="59"/>
      <c r="X760" s="60"/>
      <c r="Y760" s="59"/>
      <c r="Z760" s="59"/>
    </row>
    <row r="761" ht="15.75" customHeight="1">
      <c r="V761" s="59"/>
      <c r="W761" s="59"/>
      <c r="X761" s="60"/>
      <c r="Y761" s="59"/>
      <c r="Z761" s="59"/>
    </row>
    <row r="762" ht="15.75" customHeight="1">
      <c r="V762" s="59"/>
      <c r="W762" s="59"/>
      <c r="X762" s="60"/>
      <c r="Y762" s="59"/>
      <c r="Z762" s="59"/>
    </row>
    <row r="763" ht="15.75" customHeight="1">
      <c r="V763" s="59"/>
      <c r="W763" s="59"/>
      <c r="X763" s="60"/>
      <c r="Y763" s="59"/>
      <c r="Z763" s="59"/>
    </row>
    <row r="764" ht="15.75" customHeight="1">
      <c r="V764" s="59"/>
      <c r="W764" s="59"/>
      <c r="X764" s="60"/>
      <c r="Y764" s="59"/>
      <c r="Z764" s="59"/>
    </row>
    <row r="765" ht="15.75" customHeight="1">
      <c r="V765" s="59"/>
      <c r="W765" s="59"/>
      <c r="X765" s="60"/>
      <c r="Y765" s="59"/>
      <c r="Z765" s="59"/>
    </row>
    <row r="766" ht="15.75" customHeight="1">
      <c r="V766" s="59"/>
      <c r="W766" s="59"/>
      <c r="X766" s="60"/>
      <c r="Y766" s="59"/>
      <c r="Z766" s="59"/>
    </row>
    <row r="767" ht="15.75" customHeight="1">
      <c r="V767" s="59"/>
      <c r="W767" s="59"/>
      <c r="X767" s="60"/>
      <c r="Y767" s="59"/>
      <c r="Z767" s="59"/>
    </row>
    <row r="768" ht="15.75" customHeight="1">
      <c r="V768" s="59"/>
      <c r="W768" s="59"/>
      <c r="X768" s="60"/>
      <c r="Y768" s="59"/>
      <c r="Z768" s="59"/>
    </row>
    <row r="769" ht="15.75" customHeight="1">
      <c r="V769" s="59"/>
      <c r="W769" s="59"/>
      <c r="X769" s="60"/>
      <c r="Y769" s="59"/>
      <c r="Z769" s="59"/>
    </row>
    <row r="770" ht="15.75" customHeight="1">
      <c r="V770" s="59"/>
      <c r="W770" s="59"/>
      <c r="X770" s="60"/>
      <c r="Y770" s="59"/>
      <c r="Z770" s="59"/>
    </row>
    <row r="771" ht="15.75" customHeight="1">
      <c r="V771" s="59"/>
      <c r="W771" s="59"/>
      <c r="X771" s="60"/>
      <c r="Y771" s="59"/>
      <c r="Z771" s="59"/>
    </row>
    <row r="772" ht="15.75" customHeight="1">
      <c r="V772" s="59"/>
      <c r="W772" s="59"/>
      <c r="X772" s="60"/>
      <c r="Y772" s="59"/>
      <c r="Z772" s="59"/>
    </row>
    <row r="773" ht="15.75" customHeight="1">
      <c r="V773" s="59"/>
      <c r="W773" s="59"/>
      <c r="X773" s="60"/>
      <c r="Y773" s="59"/>
      <c r="Z773" s="59"/>
    </row>
    <row r="774" ht="15.75" customHeight="1">
      <c r="V774" s="59"/>
      <c r="W774" s="59"/>
      <c r="X774" s="60"/>
      <c r="Y774" s="59"/>
      <c r="Z774" s="59"/>
    </row>
    <row r="775" ht="15.75" customHeight="1">
      <c r="V775" s="59"/>
      <c r="W775" s="59"/>
      <c r="X775" s="60"/>
      <c r="Y775" s="59"/>
      <c r="Z775" s="59"/>
    </row>
    <row r="776" ht="15.75" customHeight="1">
      <c r="V776" s="59"/>
      <c r="W776" s="59"/>
      <c r="X776" s="60"/>
      <c r="Y776" s="59"/>
      <c r="Z776" s="59"/>
    </row>
    <row r="777" ht="15.75" customHeight="1">
      <c r="V777" s="59"/>
      <c r="W777" s="59"/>
      <c r="X777" s="60"/>
      <c r="Y777" s="59"/>
      <c r="Z777" s="59"/>
    </row>
    <row r="778" ht="15.75" customHeight="1">
      <c r="V778" s="59"/>
      <c r="W778" s="59"/>
      <c r="X778" s="60"/>
      <c r="Y778" s="59"/>
      <c r="Z778" s="59"/>
    </row>
    <row r="779" ht="15.75" customHeight="1">
      <c r="V779" s="59"/>
      <c r="W779" s="59"/>
      <c r="X779" s="60"/>
      <c r="Y779" s="59"/>
      <c r="Z779" s="59"/>
    </row>
    <row r="780" ht="15.75" customHeight="1">
      <c r="V780" s="59"/>
      <c r="W780" s="59"/>
      <c r="X780" s="60"/>
      <c r="Y780" s="59"/>
      <c r="Z780" s="59"/>
    </row>
    <row r="781" ht="15.75" customHeight="1">
      <c r="V781" s="59"/>
      <c r="W781" s="59"/>
      <c r="X781" s="60"/>
      <c r="Y781" s="59"/>
      <c r="Z781" s="59"/>
    </row>
    <row r="782" ht="15.75" customHeight="1">
      <c r="V782" s="59"/>
      <c r="W782" s="59"/>
      <c r="X782" s="60"/>
      <c r="Y782" s="59"/>
      <c r="Z782" s="59"/>
    </row>
    <row r="783" ht="15.75" customHeight="1">
      <c r="V783" s="59"/>
      <c r="W783" s="59"/>
      <c r="X783" s="60"/>
      <c r="Y783" s="59"/>
      <c r="Z783" s="59"/>
    </row>
    <row r="784" ht="15.75" customHeight="1">
      <c r="V784" s="59"/>
      <c r="W784" s="59"/>
      <c r="X784" s="60"/>
      <c r="Y784" s="59"/>
      <c r="Z784" s="59"/>
    </row>
    <row r="785" ht="15.75" customHeight="1">
      <c r="V785" s="59"/>
      <c r="W785" s="59"/>
      <c r="X785" s="60"/>
      <c r="Y785" s="59"/>
      <c r="Z785" s="59"/>
    </row>
    <row r="786" ht="15.75" customHeight="1">
      <c r="V786" s="59"/>
      <c r="W786" s="59"/>
      <c r="X786" s="60"/>
      <c r="Y786" s="59"/>
      <c r="Z786" s="59"/>
    </row>
    <row r="787" ht="15.75" customHeight="1">
      <c r="V787" s="59"/>
      <c r="W787" s="59"/>
      <c r="X787" s="60"/>
      <c r="Y787" s="59"/>
      <c r="Z787" s="59"/>
    </row>
    <row r="788" ht="15.75" customHeight="1">
      <c r="V788" s="59"/>
      <c r="W788" s="59"/>
      <c r="X788" s="60"/>
      <c r="Y788" s="59"/>
      <c r="Z788" s="59"/>
    </row>
    <row r="789" ht="15.75" customHeight="1">
      <c r="V789" s="59"/>
      <c r="W789" s="59"/>
      <c r="X789" s="60"/>
      <c r="Y789" s="59"/>
      <c r="Z789" s="59"/>
    </row>
    <row r="790" ht="15.75" customHeight="1">
      <c r="V790" s="59"/>
      <c r="W790" s="59"/>
      <c r="X790" s="60"/>
      <c r="Y790" s="59"/>
      <c r="Z790" s="59"/>
    </row>
    <row r="791" ht="15.75" customHeight="1">
      <c r="V791" s="59"/>
      <c r="W791" s="59"/>
      <c r="X791" s="60"/>
      <c r="Y791" s="59"/>
      <c r="Z791" s="59"/>
    </row>
    <row r="792" ht="15.75" customHeight="1">
      <c r="V792" s="59"/>
      <c r="W792" s="59"/>
      <c r="X792" s="60"/>
      <c r="Y792" s="59"/>
      <c r="Z792" s="59"/>
    </row>
    <row r="793" ht="15.75" customHeight="1">
      <c r="V793" s="59"/>
      <c r="W793" s="59"/>
      <c r="X793" s="60"/>
      <c r="Y793" s="59"/>
      <c r="Z793" s="59"/>
    </row>
    <row r="794" ht="15.75" customHeight="1">
      <c r="V794" s="59"/>
      <c r="W794" s="59"/>
      <c r="X794" s="60"/>
      <c r="Y794" s="59"/>
      <c r="Z794" s="59"/>
    </row>
    <row r="795" ht="15.75" customHeight="1">
      <c r="V795" s="59"/>
      <c r="W795" s="59"/>
      <c r="X795" s="60"/>
      <c r="Y795" s="59"/>
      <c r="Z795" s="59"/>
    </row>
    <row r="796" ht="15.75" customHeight="1">
      <c r="V796" s="59"/>
      <c r="W796" s="59"/>
      <c r="X796" s="60"/>
      <c r="Y796" s="59"/>
      <c r="Z796" s="59"/>
    </row>
    <row r="797" ht="15.75" customHeight="1">
      <c r="V797" s="59"/>
      <c r="W797" s="59"/>
      <c r="X797" s="60"/>
      <c r="Y797" s="59"/>
      <c r="Z797" s="59"/>
    </row>
    <row r="798" ht="15.75" customHeight="1">
      <c r="V798" s="59"/>
      <c r="W798" s="59"/>
      <c r="X798" s="60"/>
      <c r="Y798" s="59"/>
      <c r="Z798" s="59"/>
    </row>
    <row r="799" ht="15.75" customHeight="1">
      <c r="V799" s="59"/>
      <c r="W799" s="59"/>
      <c r="X799" s="60"/>
      <c r="Y799" s="59"/>
      <c r="Z799" s="59"/>
    </row>
    <row r="800" ht="15.75" customHeight="1">
      <c r="V800" s="59"/>
      <c r="W800" s="59"/>
      <c r="X800" s="60"/>
      <c r="Y800" s="59"/>
      <c r="Z800" s="59"/>
    </row>
    <row r="801" ht="15.75" customHeight="1">
      <c r="V801" s="59"/>
      <c r="W801" s="59"/>
      <c r="X801" s="60"/>
      <c r="Y801" s="59"/>
      <c r="Z801" s="59"/>
    </row>
    <row r="802" ht="15.75" customHeight="1">
      <c r="V802" s="59"/>
      <c r="W802" s="59"/>
      <c r="X802" s="60"/>
      <c r="Y802" s="59"/>
      <c r="Z802" s="59"/>
    </row>
    <row r="803" ht="15.75" customHeight="1">
      <c r="V803" s="59"/>
      <c r="W803" s="59"/>
      <c r="X803" s="60"/>
      <c r="Y803" s="59"/>
      <c r="Z803" s="59"/>
    </row>
    <row r="804" ht="15.75" customHeight="1">
      <c r="V804" s="59"/>
      <c r="W804" s="59"/>
      <c r="X804" s="60"/>
      <c r="Y804" s="59"/>
      <c r="Z804" s="59"/>
    </row>
    <row r="805" ht="15.75" customHeight="1">
      <c r="V805" s="59"/>
      <c r="W805" s="59"/>
      <c r="X805" s="60"/>
      <c r="Y805" s="59"/>
      <c r="Z805" s="59"/>
    </row>
    <row r="806" ht="15.75" customHeight="1">
      <c r="V806" s="59"/>
      <c r="W806" s="59"/>
      <c r="X806" s="60"/>
      <c r="Y806" s="59"/>
      <c r="Z806" s="59"/>
    </row>
    <row r="807" ht="15.75" customHeight="1">
      <c r="V807" s="59"/>
      <c r="W807" s="59"/>
      <c r="X807" s="60"/>
      <c r="Y807" s="59"/>
      <c r="Z807" s="59"/>
    </row>
    <row r="808" ht="15.75" customHeight="1">
      <c r="V808" s="59"/>
      <c r="W808" s="59"/>
      <c r="X808" s="60"/>
      <c r="Y808" s="59"/>
      <c r="Z808" s="59"/>
    </row>
    <row r="809" ht="15.75" customHeight="1">
      <c r="V809" s="59"/>
      <c r="W809" s="59"/>
      <c r="X809" s="60"/>
      <c r="Y809" s="59"/>
      <c r="Z809" s="59"/>
    </row>
    <row r="810" ht="15.75" customHeight="1">
      <c r="V810" s="59"/>
      <c r="W810" s="59"/>
      <c r="X810" s="60"/>
      <c r="Y810" s="59"/>
      <c r="Z810" s="59"/>
    </row>
    <row r="811" ht="15.75" customHeight="1">
      <c r="V811" s="59"/>
      <c r="W811" s="59"/>
      <c r="X811" s="60"/>
      <c r="Y811" s="59"/>
      <c r="Z811" s="59"/>
    </row>
    <row r="812" ht="15.75" customHeight="1">
      <c r="V812" s="59"/>
      <c r="W812" s="59"/>
      <c r="X812" s="60"/>
      <c r="Y812" s="59"/>
      <c r="Z812" s="59"/>
    </row>
    <row r="813" ht="15.75" customHeight="1">
      <c r="V813" s="59"/>
      <c r="W813" s="59"/>
      <c r="X813" s="60"/>
      <c r="Y813" s="59"/>
      <c r="Z813" s="59"/>
    </row>
    <row r="814" ht="15.75" customHeight="1">
      <c r="V814" s="59"/>
      <c r="W814" s="59"/>
      <c r="X814" s="60"/>
      <c r="Y814" s="59"/>
      <c r="Z814" s="59"/>
    </row>
    <row r="815" ht="15.75" customHeight="1">
      <c r="V815" s="59"/>
      <c r="W815" s="59"/>
      <c r="X815" s="60"/>
      <c r="Y815" s="59"/>
      <c r="Z815" s="59"/>
    </row>
    <row r="816" ht="15.75" customHeight="1">
      <c r="V816" s="59"/>
      <c r="W816" s="59"/>
      <c r="X816" s="60"/>
      <c r="Y816" s="59"/>
      <c r="Z816" s="59"/>
    </row>
    <row r="817" ht="15.75" customHeight="1">
      <c r="V817" s="59"/>
      <c r="W817" s="59"/>
      <c r="X817" s="60"/>
      <c r="Y817" s="59"/>
      <c r="Z817" s="59"/>
    </row>
    <row r="818" ht="15.75" customHeight="1">
      <c r="V818" s="59"/>
      <c r="W818" s="59"/>
      <c r="X818" s="60"/>
      <c r="Y818" s="59"/>
      <c r="Z818" s="59"/>
    </row>
    <row r="819" ht="15.75" customHeight="1">
      <c r="V819" s="59"/>
      <c r="W819" s="59"/>
      <c r="X819" s="60"/>
      <c r="Y819" s="59"/>
      <c r="Z819" s="59"/>
    </row>
    <row r="820" ht="15.75" customHeight="1">
      <c r="V820" s="59"/>
      <c r="W820" s="59"/>
      <c r="X820" s="60"/>
      <c r="Y820" s="59"/>
      <c r="Z820" s="59"/>
    </row>
    <row r="821" ht="15.75" customHeight="1">
      <c r="V821" s="59"/>
      <c r="W821" s="59"/>
      <c r="X821" s="60"/>
      <c r="Y821" s="59"/>
      <c r="Z821" s="59"/>
    </row>
    <row r="822" ht="15.75" customHeight="1">
      <c r="V822" s="59"/>
      <c r="W822" s="59"/>
      <c r="X822" s="60"/>
      <c r="Y822" s="59"/>
      <c r="Z822" s="59"/>
    </row>
    <row r="823" ht="15.75" customHeight="1">
      <c r="V823" s="59"/>
      <c r="W823" s="59"/>
      <c r="X823" s="60"/>
      <c r="Y823" s="59"/>
      <c r="Z823" s="59"/>
    </row>
    <row r="824" ht="15.75" customHeight="1">
      <c r="V824" s="59"/>
      <c r="W824" s="59"/>
      <c r="X824" s="60"/>
      <c r="Y824" s="59"/>
      <c r="Z824" s="59"/>
    </row>
    <row r="825" ht="15.75" customHeight="1">
      <c r="V825" s="59"/>
      <c r="W825" s="59"/>
      <c r="X825" s="60"/>
      <c r="Y825" s="59"/>
      <c r="Z825" s="59"/>
    </row>
    <row r="826" ht="15.75" customHeight="1">
      <c r="V826" s="59"/>
      <c r="W826" s="59"/>
      <c r="X826" s="60"/>
      <c r="Y826" s="59"/>
      <c r="Z826" s="59"/>
    </row>
    <row r="827" ht="15.75" customHeight="1">
      <c r="V827" s="59"/>
      <c r="W827" s="59"/>
      <c r="X827" s="60"/>
      <c r="Y827" s="59"/>
      <c r="Z827" s="59"/>
    </row>
    <row r="828" ht="15.75" customHeight="1">
      <c r="V828" s="59"/>
      <c r="W828" s="59"/>
      <c r="X828" s="60"/>
      <c r="Y828" s="59"/>
      <c r="Z828" s="59"/>
    </row>
    <row r="829" ht="15.75" customHeight="1">
      <c r="V829" s="59"/>
      <c r="W829" s="59"/>
      <c r="X829" s="60"/>
      <c r="Y829" s="59"/>
      <c r="Z829" s="59"/>
    </row>
    <row r="830" ht="15.75" customHeight="1">
      <c r="V830" s="59"/>
      <c r="W830" s="59"/>
      <c r="X830" s="60"/>
      <c r="Y830" s="59"/>
      <c r="Z830" s="59"/>
    </row>
    <row r="831" ht="15.75" customHeight="1">
      <c r="V831" s="59"/>
      <c r="W831" s="59"/>
      <c r="X831" s="60"/>
      <c r="Y831" s="59"/>
      <c r="Z831" s="59"/>
    </row>
    <row r="832" ht="15.75" customHeight="1">
      <c r="V832" s="59"/>
      <c r="W832" s="59"/>
      <c r="X832" s="60"/>
      <c r="Y832" s="59"/>
      <c r="Z832" s="59"/>
    </row>
    <row r="833" ht="15.75" customHeight="1">
      <c r="V833" s="59"/>
      <c r="W833" s="59"/>
      <c r="X833" s="60"/>
      <c r="Y833" s="59"/>
      <c r="Z833" s="59"/>
    </row>
    <row r="834" ht="15.75" customHeight="1">
      <c r="V834" s="59"/>
      <c r="W834" s="59"/>
      <c r="X834" s="60"/>
      <c r="Y834" s="59"/>
      <c r="Z834" s="59"/>
    </row>
    <row r="835" ht="15.75" customHeight="1">
      <c r="V835" s="59"/>
      <c r="W835" s="59"/>
      <c r="X835" s="60"/>
      <c r="Y835" s="59"/>
      <c r="Z835" s="59"/>
    </row>
    <row r="836" ht="15.75" customHeight="1">
      <c r="V836" s="59"/>
      <c r="W836" s="59"/>
      <c r="X836" s="60"/>
      <c r="Y836" s="59"/>
      <c r="Z836" s="59"/>
    </row>
    <row r="837" ht="15.75" customHeight="1">
      <c r="V837" s="59"/>
      <c r="W837" s="59"/>
      <c r="X837" s="60"/>
      <c r="Y837" s="59"/>
      <c r="Z837" s="59"/>
    </row>
    <row r="838" ht="15.75" customHeight="1">
      <c r="V838" s="59"/>
      <c r="W838" s="59"/>
      <c r="X838" s="60"/>
      <c r="Y838" s="59"/>
      <c r="Z838" s="59"/>
    </row>
    <row r="839" ht="15.75" customHeight="1">
      <c r="V839" s="59"/>
      <c r="W839" s="59"/>
      <c r="X839" s="60"/>
      <c r="Y839" s="59"/>
      <c r="Z839" s="59"/>
    </row>
    <row r="840" ht="15.75" customHeight="1">
      <c r="V840" s="59"/>
      <c r="W840" s="59"/>
      <c r="X840" s="60"/>
      <c r="Y840" s="59"/>
      <c r="Z840" s="59"/>
    </row>
    <row r="841" ht="15.75" customHeight="1">
      <c r="V841" s="59"/>
      <c r="W841" s="59"/>
      <c r="X841" s="60"/>
      <c r="Y841" s="59"/>
      <c r="Z841" s="59"/>
    </row>
    <row r="842" ht="15.75" customHeight="1">
      <c r="V842" s="59"/>
      <c r="W842" s="59"/>
      <c r="X842" s="60"/>
      <c r="Y842" s="59"/>
      <c r="Z842" s="59"/>
    </row>
    <row r="843" ht="15.75" customHeight="1">
      <c r="V843" s="59"/>
      <c r="W843" s="59"/>
      <c r="X843" s="60"/>
      <c r="Y843" s="59"/>
      <c r="Z843" s="59"/>
    </row>
    <row r="844" ht="15.75" customHeight="1">
      <c r="V844" s="59"/>
      <c r="W844" s="59"/>
      <c r="X844" s="60"/>
      <c r="Y844" s="59"/>
      <c r="Z844" s="59"/>
    </row>
    <row r="845" ht="15.75" customHeight="1">
      <c r="V845" s="59"/>
      <c r="W845" s="59"/>
      <c r="X845" s="60"/>
      <c r="Y845" s="59"/>
      <c r="Z845" s="59"/>
    </row>
    <row r="846" ht="15.75" customHeight="1">
      <c r="V846" s="59"/>
      <c r="W846" s="59"/>
      <c r="X846" s="60"/>
      <c r="Y846" s="59"/>
      <c r="Z846" s="59"/>
    </row>
    <row r="847" ht="15.75" customHeight="1">
      <c r="V847" s="59"/>
      <c r="W847" s="59"/>
      <c r="X847" s="60"/>
      <c r="Y847" s="59"/>
      <c r="Z847" s="59"/>
    </row>
    <row r="848" ht="15.75" customHeight="1">
      <c r="V848" s="59"/>
      <c r="W848" s="59"/>
      <c r="X848" s="60"/>
      <c r="Y848" s="59"/>
      <c r="Z848" s="59"/>
    </row>
    <row r="849" ht="15.75" customHeight="1">
      <c r="V849" s="59"/>
      <c r="W849" s="59"/>
      <c r="X849" s="60"/>
      <c r="Y849" s="59"/>
      <c r="Z849" s="59"/>
    </row>
    <row r="850" ht="15.75" customHeight="1">
      <c r="V850" s="59"/>
      <c r="W850" s="59"/>
      <c r="X850" s="60"/>
      <c r="Y850" s="59"/>
      <c r="Z850" s="59"/>
    </row>
    <row r="851" ht="15.75" customHeight="1">
      <c r="V851" s="59"/>
      <c r="W851" s="59"/>
      <c r="X851" s="60"/>
      <c r="Y851" s="59"/>
      <c r="Z851" s="59"/>
    </row>
    <row r="852" ht="15.75" customHeight="1">
      <c r="V852" s="59"/>
      <c r="W852" s="59"/>
      <c r="X852" s="60"/>
      <c r="Y852" s="59"/>
      <c r="Z852" s="59"/>
    </row>
    <row r="853" ht="15.75" customHeight="1">
      <c r="V853" s="59"/>
      <c r="W853" s="59"/>
      <c r="X853" s="60"/>
      <c r="Y853" s="59"/>
      <c r="Z853" s="59"/>
    </row>
    <row r="854" ht="15.75" customHeight="1">
      <c r="V854" s="59"/>
      <c r="W854" s="59"/>
      <c r="X854" s="60"/>
      <c r="Y854" s="59"/>
      <c r="Z854" s="59"/>
    </row>
    <row r="855" ht="15.75" customHeight="1">
      <c r="V855" s="59"/>
      <c r="W855" s="59"/>
      <c r="X855" s="60"/>
      <c r="Y855" s="59"/>
      <c r="Z855" s="59"/>
    </row>
    <row r="856" ht="15.75" customHeight="1">
      <c r="V856" s="59"/>
      <c r="W856" s="59"/>
      <c r="X856" s="60"/>
      <c r="Y856" s="59"/>
      <c r="Z856" s="59"/>
    </row>
    <row r="857" ht="15.75" customHeight="1">
      <c r="V857" s="59"/>
      <c r="W857" s="59"/>
      <c r="X857" s="60"/>
      <c r="Y857" s="59"/>
      <c r="Z857" s="59"/>
    </row>
    <row r="858" ht="15.75" customHeight="1">
      <c r="V858" s="59"/>
      <c r="W858" s="59"/>
      <c r="X858" s="60"/>
      <c r="Y858" s="59"/>
      <c r="Z858" s="59"/>
    </row>
    <row r="859" ht="15.75" customHeight="1">
      <c r="V859" s="59"/>
      <c r="W859" s="59"/>
      <c r="X859" s="60"/>
      <c r="Y859" s="59"/>
      <c r="Z859" s="59"/>
    </row>
    <row r="860" ht="15.75" customHeight="1">
      <c r="V860" s="59"/>
      <c r="W860" s="59"/>
      <c r="X860" s="60"/>
      <c r="Y860" s="59"/>
      <c r="Z860" s="59"/>
    </row>
    <row r="861" ht="15.75" customHeight="1">
      <c r="V861" s="59"/>
      <c r="W861" s="59"/>
      <c r="X861" s="60"/>
      <c r="Y861" s="59"/>
      <c r="Z861" s="59"/>
    </row>
    <row r="862" ht="15.75" customHeight="1">
      <c r="V862" s="59"/>
      <c r="W862" s="59"/>
      <c r="X862" s="60"/>
      <c r="Y862" s="59"/>
      <c r="Z862" s="59"/>
    </row>
    <row r="863" ht="15.75" customHeight="1">
      <c r="V863" s="59"/>
      <c r="W863" s="59"/>
      <c r="X863" s="60"/>
      <c r="Y863" s="59"/>
      <c r="Z863" s="59"/>
    </row>
    <row r="864" ht="15.75" customHeight="1">
      <c r="V864" s="59"/>
      <c r="W864" s="59"/>
      <c r="X864" s="60"/>
      <c r="Y864" s="59"/>
      <c r="Z864" s="59"/>
    </row>
    <row r="865" ht="15.75" customHeight="1">
      <c r="V865" s="59"/>
      <c r="W865" s="59"/>
      <c r="X865" s="60"/>
      <c r="Y865" s="59"/>
      <c r="Z865" s="59"/>
    </row>
    <row r="866" ht="15.75" customHeight="1">
      <c r="V866" s="59"/>
      <c r="W866" s="59"/>
      <c r="X866" s="60"/>
      <c r="Y866" s="59"/>
      <c r="Z866" s="59"/>
    </row>
    <row r="867" ht="15.75" customHeight="1">
      <c r="V867" s="59"/>
      <c r="W867" s="59"/>
      <c r="X867" s="60"/>
      <c r="Y867" s="59"/>
      <c r="Z867" s="59"/>
    </row>
    <row r="868" ht="15.75" customHeight="1">
      <c r="V868" s="59"/>
      <c r="W868" s="59"/>
      <c r="X868" s="60"/>
      <c r="Y868" s="59"/>
      <c r="Z868" s="59"/>
    </row>
    <row r="869" ht="15.75" customHeight="1">
      <c r="V869" s="59"/>
      <c r="W869" s="59"/>
      <c r="X869" s="60"/>
      <c r="Y869" s="59"/>
      <c r="Z869" s="59"/>
    </row>
    <row r="870" ht="15.75" customHeight="1">
      <c r="V870" s="59"/>
      <c r="W870" s="59"/>
      <c r="X870" s="60"/>
      <c r="Y870" s="59"/>
      <c r="Z870" s="59"/>
    </row>
    <row r="871" ht="15.75" customHeight="1">
      <c r="V871" s="59"/>
      <c r="W871" s="59"/>
      <c r="X871" s="60"/>
      <c r="Y871" s="59"/>
      <c r="Z871" s="59"/>
    </row>
    <row r="872" ht="15.75" customHeight="1">
      <c r="V872" s="59"/>
      <c r="W872" s="59"/>
      <c r="X872" s="60"/>
      <c r="Y872" s="59"/>
      <c r="Z872" s="59"/>
    </row>
    <row r="873" ht="15.75" customHeight="1">
      <c r="V873" s="59"/>
      <c r="W873" s="59"/>
      <c r="X873" s="60"/>
      <c r="Y873" s="59"/>
      <c r="Z873" s="59"/>
    </row>
    <row r="874" ht="15.75" customHeight="1">
      <c r="V874" s="59"/>
      <c r="W874" s="59"/>
      <c r="X874" s="60"/>
      <c r="Y874" s="59"/>
      <c r="Z874" s="59"/>
    </row>
    <row r="875" ht="15.75" customHeight="1">
      <c r="V875" s="59"/>
      <c r="W875" s="59"/>
      <c r="X875" s="60"/>
      <c r="Y875" s="59"/>
      <c r="Z875" s="59"/>
    </row>
    <row r="876" ht="15.75" customHeight="1">
      <c r="V876" s="59"/>
      <c r="W876" s="59"/>
      <c r="X876" s="60"/>
      <c r="Y876" s="59"/>
      <c r="Z876" s="59"/>
    </row>
    <row r="877" ht="15.75" customHeight="1">
      <c r="V877" s="59"/>
      <c r="W877" s="59"/>
      <c r="X877" s="60"/>
      <c r="Y877" s="59"/>
      <c r="Z877" s="59"/>
    </row>
    <row r="878" ht="15.75" customHeight="1">
      <c r="V878" s="59"/>
      <c r="W878" s="59"/>
      <c r="X878" s="60"/>
      <c r="Y878" s="59"/>
      <c r="Z878" s="59"/>
    </row>
    <row r="879" ht="15.75" customHeight="1">
      <c r="V879" s="59"/>
      <c r="W879" s="59"/>
      <c r="X879" s="60"/>
      <c r="Y879" s="59"/>
      <c r="Z879" s="59"/>
    </row>
    <row r="880" ht="15.75" customHeight="1">
      <c r="V880" s="59"/>
      <c r="W880" s="59"/>
      <c r="X880" s="60"/>
      <c r="Y880" s="59"/>
      <c r="Z880" s="59"/>
    </row>
    <row r="881" ht="15.75" customHeight="1">
      <c r="V881" s="59"/>
      <c r="W881" s="59"/>
      <c r="X881" s="60"/>
      <c r="Y881" s="59"/>
      <c r="Z881" s="59"/>
    </row>
    <row r="882" ht="15.75" customHeight="1">
      <c r="V882" s="59"/>
      <c r="W882" s="59"/>
      <c r="X882" s="60"/>
      <c r="Y882" s="59"/>
      <c r="Z882" s="59"/>
    </row>
    <row r="883" ht="15.75" customHeight="1">
      <c r="V883" s="59"/>
      <c r="W883" s="59"/>
      <c r="X883" s="60"/>
      <c r="Y883" s="59"/>
      <c r="Z883" s="59"/>
    </row>
    <row r="884" ht="15.75" customHeight="1">
      <c r="V884" s="59"/>
      <c r="W884" s="59"/>
      <c r="X884" s="60"/>
      <c r="Y884" s="59"/>
      <c r="Z884" s="59"/>
    </row>
    <row r="885" ht="15.75" customHeight="1">
      <c r="V885" s="59"/>
      <c r="W885" s="59"/>
      <c r="X885" s="60"/>
      <c r="Y885" s="59"/>
      <c r="Z885" s="59"/>
    </row>
    <row r="886" ht="15.75" customHeight="1">
      <c r="V886" s="59"/>
      <c r="W886" s="59"/>
      <c r="X886" s="60"/>
      <c r="Y886" s="59"/>
      <c r="Z886" s="59"/>
    </row>
    <row r="887" ht="15.75" customHeight="1">
      <c r="V887" s="59"/>
      <c r="W887" s="59"/>
      <c r="X887" s="60"/>
      <c r="Y887" s="59"/>
      <c r="Z887" s="59"/>
    </row>
    <row r="888" ht="15.75" customHeight="1">
      <c r="V888" s="59"/>
      <c r="W888" s="59"/>
      <c r="X888" s="60"/>
      <c r="Y888" s="59"/>
      <c r="Z888" s="59"/>
    </row>
    <row r="889" ht="15.75" customHeight="1">
      <c r="V889" s="59"/>
      <c r="W889" s="59"/>
      <c r="X889" s="60"/>
      <c r="Y889" s="59"/>
      <c r="Z889" s="59"/>
    </row>
    <row r="890" ht="15.75" customHeight="1">
      <c r="V890" s="59"/>
      <c r="W890" s="59"/>
      <c r="X890" s="60"/>
      <c r="Y890" s="59"/>
      <c r="Z890" s="59"/>
    </row>
    <row r="891" ht="15.75" customHeight="1">
      <c r="V891" s="59"/>
      <c r="W891" s="59"/>
      <c r="X891" s="60"/>
      <c r="Y891" s="59"/>
      <c r="Z891" s="59"/>
    </row>
    <row r="892" ht="15.75" customHeight="1">
      <c r="V892" s="59"/>
      <c r="W892" s="59"/>
      <c r="X892" s="60"/>
      <c r="Y892" s="59"/>
      <c r="Z892" s="59"/>
    </row>
    <row r="893" ht="15.75" customHeight="1">
      <c r="V893" s="59"/>
      <c r="W893" s="59"/>
      <c r="X893" s="60"/>
      <c r="Y893" s="59"/>
      <c r="Z893" s="59"/>
    </row>
    <row r="894" ht="15.75" customHeight="1">
      <c r="V894" s="59"/>
      <c r="W894" s="59"/>
      <c r="X894" s="60"/>
      <c r="Y894" s="59"/>
      <c r="Z894" s="59"/>
    </row>
    <row r="895" ht="15.75" customHeight="1">
      <c r="V895" s="59"/>
      <c r="W895" s="59"/>
      <c r="X895" s="60"/>
      <c r="Y895" s="59"/>
      <c r="Z895" s="59"/>
    </row>
    <row r="896" ht="15.75" customHeight="1">
      <c r="V896" s="59"/>
      <c r="W896" s="59"/>
      <c r="X896" s="60"/>
      <c r="Y896" s="59"/>
      <c r="Z896" s="59"/>
    </row>
    <row r="897" ht="15.75" customHeight="1">
      <c r="V897" s="59"/>
      <c r="W897" s="59"/>
      <c r="X897" s="60"/>
      <c r="Y897" s="59"/>
      <c r="Z897" s="59"/>
    </row>
    <row r="898" ht="15.75" customHeight="1">
      <c r="V898" s="59"/>
      <c r="W898" s="59"/>
      <c r="X898" s="60"/>
      <c r="Y898" s="59"/>
      <c r="Z898" s="59"/>
    </row>
    <row r="899" ht="15.75" customHeight="1">
      <c r="V899" s="59"/>
      <c r="W899" s="59"/>
      <c r="X899" s="60"/>
      <c r="Y899" s="59"/>
      <c r="Z899" s="59"/>
    </row>
    <row r="900" ht="15.75" customHeight="1">
      <c r="V900" s="59"/>
      <c r="W900" s="59"/>
      <c r="X900" s="60"/>
      <c r="Y900" s="59"/>
      <c r="Z900" s="59"/>
    </row>
    <row r="901" ht="15.75" customHeight="1">
      <c r="V901" s="59"/>
      <c r="W901" s="59"/>
      <c r="X901" s="60"/>
      <c r="Y901" s="59"/>
      <c r="Z901" s="59"/>
    </row>
    <row r="902" ht="15.75" customHeight="1">
      <c r="V902" s="59"/>
      <c r="W902" s="59"/>
      <c r="X902" s="60"/>
      <c r="Y902" s="59"/>
      <c r="Z902" s="59"/>
    </row>
    <row r="903" ht="15.75" customHeight="1">
      <c r="V903" s="59"/>
      <c r="W903" s="59"/>
      <c r="X903" s="60"/>
      <c r="Y903" s="59"/>
      <c r="Z903" s="59"/>
    </row>
    <row r="904" ht="15.75" customHeight="1">
      <c r="V904" s="59"/>
      <c r="W904" s="59"/>
      <c r="X904" s="60"/>
      <c r="Y904" s="59"/>
      <c r="Z904" s="59"/>
    </row>
    <row r="905" ht="15.75" customHeight="1">
      <c r="V905" s="59"/>
      <c r="W905" s="59"/>
      <c r="X905" s="60"/>
      <c r="Y905" s="59"/>
      <c r="Z905" s="59"/>
    </row>
    <row r="906" ht="15.75" customHeight="1">
      <c r="V906" s="59"/>
      <c r="W906" s="59"/>
      <c r="X906" s="60"/>
      <c r="Y906" s="59"/>
      <c r="Z906" s="59"/>
    </row>
    <row r="907" ht="15.75" customHeight="1">
      <c r="V907" s="59"/>
      <c r="W907" s="59"/>
      <c r="X907" s="60"/>
      <c r="Y907" s="59"/>
      <c r="Z907" s="59"/>
    </row>
    <row r="908" ht="15.75" customHeight="1">
      <c r="V908" s="59"/>
      <c r="W908" s="59"/>
      <c r="X908" s="60"/>
      <c r="Y908" s="59"/>
      <c r="Z908" s="59"/>
    </row>
    <row r="909" ht="15.75" customHeight="1">
      <c r="V909" s="59"/>
      <c r="W909" s="59"/>
      <c r="X909" s="60"/>
      <c r="Y909" s="59"/>
      <c r="Z909" s="59"/>
    </row>
    <row r="910" ht="15.75" customHeight="1">
      <c r="V910" s="59"/>
      <c r="W910" s="59"/>
      <c r="X910" s="60"/>
      <c r="Y910" s="59"/>
      <c r="Z910" s="59"/>
    </row>
    <row r="911" ht="15.75" customHeight="1">
      <c r="V911" s="59"/>
      <c r="W911" s="59"/>
      <c r="X911" s="60"/>
      <c r="Y911" s="59"/>
      <c r="Z911" s="59"/>
    </row>
    <row r="912" ht="15.75" customHeight="1">
      <c r="V912" s="59"/>
      <c r="W912" s="59"/>
      <c r="X912" s="60"/>
      <c r="Y912" s="59"/>
      <c r="Z912" s="59"/>
    </row>
    <row r="913" ht="15.75" customHeight="1">
      <c r="V913" s="59"/>
      <c r="W913" s="59"/>
      <c r="X913" s="60"/>
      <c r="Y913" s="59"/>
      <c r="Z913" s="59"/>
    </row>
    <row r="914" ht="15.75" customHeight="1">
      <c r="V914" s="59"/>
      <c r="W914" s="59"/>
      <c r="X914" s="60"/>
      <c r="Y914" s="59"/>
      <c r="Z914" s="59"/>
    </row>
    <row r="915" ht="15.75" customHeight="1">
      <c r="V915" s="59"/>
      <c r="W915" s="59"/>
      <c r="X915" s="60"/>
      <c r="Y915" s="59"/>
      <c r="Z915" s="59"/>
    </row>
    <row r="916" ht="15.75" customHeight="1">
      <c r="V916" s="59"/>
      <c r="W916" s="59"/>
      <c r="X916" s="60"/>
      <c r="Y916" s="59"/>
      <c r="Z916" s="59"/>
    </row>
    <row r="917" ht="15.75" customHeight="1">
      <c r="V917" s="59"/>
      <c r="W917" s="59"/>
      <c r="X917" s="60"/>
      <c r="Y917" s="59"/>
      <c r="Z917" s="59"/>
    </row>
    <row r="918" ht="15.75" customHeight="1">
      <c r="V918" s="59"/>
      <c r="W918" s="59"/>
      <c r="X918" s="60"/>
      <c r="Y918" s="59"/>
      <c r="Z918" s="59"/>
    </row>
    <row r="919" ht="15.75" customHeight="1">
      <c r="V919" s="59"/>
      <c r="W919" s="59"/>
      <c r="X919" s="60"/>
      <c r="Y919" s="59"/>
      <c r="Z919" s="59"/>
    </row>
    <row r="920" ht="15.75" customHeight="1">
      <c r="V920" s="59"/>
      <c r="W920" s="59"/>
      <c r="X920" s="60"/>
      <c r="Y920" s="59"/>
      <c r="Z920" s="59"/>
    </row>
    <row r="921" ht="15.75" customHeight="1">
      <c r="V921" s="59"/>
      <c r="W921" s="59"/>
      <c r="X921" s="60"/>
      <c r="Y921" s="59"/>
      <c r="Z921" s="59"/>
    </row>
    <row r="922" ht="15.75" customHeight="1">
      <c r="V922" s="59"/>
      <c r="W922" s="59"/>
      <c r="X922" s="60"/>
      <c r="Y922" s="59"/>
      <c r="Z922" s="59"/>
    </row>
    <row r="923" ht="15.75" customHeight="1">
      <c r="V923" s="59"/>
      <c r="W923" s="59"/>
      <c r="X923" s="60"/>
      <c r="Y923" s="59"/>
      <c r="Z923" s="59"/>
    </row>
    <row r="924" ht="15.75" customHeight="1">
      <c r="V924" s="59"/>
      <c r="W924" s="59"/>
      <c r="X924" s="60"/>
      <c r="Y924" s="59"/>
      <c r="Z924" s="59"/>
    </row>
    <row r="925" ht="15.75" customHeight="1">
      <c r="V925" s="59"/>
      <c r="W925" s="59"/>
      <c r="X925" s="60"/>
      <c r="Y925" s="59"/>
      <c r="Z925" s="59"/>
    </row>
    <row r="926" ht="15.75" customHeight="1">
      <c r="V926" s="59"/>
      <c r="W926" s="59"/>
      <c r="X926" s="60"/>
      <c r="Y926" s="59"/>
      <c r="Z926" s="59"/>
    </row>
    <row r="927" ht="15.75" customHeight="1">
      <c r="V927" s="59"/>
      <c r="W927" s="59"/>
      <c r="X927" s="60"/>
      <c r="Y927" s="59"/>
      <c r="Z927" s="59"/>
    </row>
    <row r="928" ht="15.75" customHeight="1">
      <c r="V928" s="59"/>
      <c r="W928" s="59"/>
      <c r="X928" s="60"/>
      <c r="Y928" s="59"/>
      <c r="Z928" s="59"/>
    </row>
    <row r="929" ht="15.75" customHeight="1">
      <c r="V929" s="59"/>
      <c r="W929" s="59"/>
      <c r="X929" s="60"/>
      <c r="Y929" s="59"/>
      <c r="Z929" s="59"/>
    </row>
    <row r="930" ht="15.75" customHeight="1">
      <c r="V930" s="59"/>
      <c r="W930" s="59"/>
      <c r="X930" s="60"/>
      <c r="Y930" s="59"/>
      <c r="Z930" s="59"/>
    </row>
    <row r="931" ht="15.75" customHeight="1">
      <c r="V931" s="59"/>
      <c r="W931" s="59"/>
      <c r="X931" s="60"/>
      <c r="Y931" s="59"/>
      <c r="Z931" s="59"/>
    </row>
    <row r="932" ht="15.75" customHeight="1">
      <c r="V932" s="59"/>
      <c r="W932" s="59"/>
      <c r="X932" s="60"/>
      <c r="Y932" s="59"/>
      <c r="Z932" s="59"/>
    </row>
    <row r="933" ht="15.75" customHeight="1">
      <c r="V933" s="59"/>
      <c r="W933" s="59"/>
      <c r="X933" s="60"/>
      <c r="Y933" s="59"/>
      <c r="Z933" s="59"/>
    </row>
    <row r="934" ht="15.75" customHeight="1">
      <c r="V934" s="59"/>
      <c r="W934" s="59"/>
      <c r="X934" s="60"/>
      <c r="Y934" s="59"/>
      <c r="Z934" s="59"/>
    </row>
    <row r="935" ht="15.75" customHeight="1">
      <c r="V935" s="59"/>
      <c r="W935" s="59"/>
      <c r="X935" s="60"/>
      <c r="Y935" s="59"/>
      <c r="Z935" s="59"/>
    </row>
    <row r="936" ht="15.75" customHeight="1">
      <c r="V936" s="59"/>
      <c r="W936" s="59"/>
      <c r="X936" s="60"/>
      <c r="Y936" s="59"/>
      <c r="Z936" s="59"/>
    </row>
    <row r="937" ht="15.75" customHeight="1">
      <c r="V937" s="59"/>
      <c r="W937" s="59"/>
      <c r="X937" s="60"/>
      <c r="Y937" s="59"/>
      <c r="Z937" s="59"/>
    </row>
    <row r="938" ht="15.75" customHeight="1">
      <c r="V938" s="59"/>
      <c r="W938" s="59"/>
      <c r="X938" s="60"/>
      <c r="Y938" s="59"/>
      <c r="Z938" s="59"/>
    </row>
    <row r="939" ht="15.75" customHeight="1">
      <c r="V939" s="59"/>
      <c r="W939" s="59"/>
      <c r="X939" s="60"/>
      <c r="Y939" s="59"/>
      <c r="Z939" s="59"/>
    </row>
    <row r="940" ht="15.75" customHeight="1">
      <c r="V940" s="59"/>
      <c r="W940" s="59"/>
      <c r="X940" s="60"/>
      <c r="Y940" s="59"/>
      <c r="Z940" s="59"/>
    </row>
    <row r="941" ht="15.75" customHeight="1">
      <c r="V941" s="59"/>
      <c r="W941" s="59"/>
      <c r="X941" s="60"/>
      <c r="Y941" s="59"/>
      <c r="Z941" s="59"/>
    </row>
    <row r="942" ht="15.75" customHeight="1">
      <c r="V942" s="59"/>
      <c r="W942" s="59"/>
      <c r="X942" s="60"/>
      <c r="Y942" s="59"/>
      <c r="Z942" s="59"/>
    </row>
    <row r="943" ht="15.75" customHeight="1">
      <c r="V943" s="59"/>
      <c r="W943" s="59"/>
      <c r="X943" s="60"/>
      <c r="Y943" s="59"/>
      <c r="Z943" s="59"/>
    </row>
    <row r="944" ht="15.75" customHeight="1">
      <c r="V944" s="59"/>
      <c r="W944" s="59"/>
      <c r="X944" s="60"/>
      <c r="Y944" s="59"/>
      <c r="Z944" s="59"/>
    </row>
    <row r="945" ht="15.75" customHeight="1">
      <c r="V945" s="59"/>
      <c r="W945" s="59"/>
      <c r="X945" s="60"/>
      <c r="Y945" s="59"/>
      <c r="Z945" s="59"/>
    </row>
    <row r="946" ht="15.75" customHeight="1">
      <c r="V946" s="59"/>
      <c r="W946" s="59"/>
      <c r="X946" s="60"/>
      <c r="Y946" s="59"/>
      <c r="Z946" s="59"/>
    </row>
    <row r="947" ht="15.75" customHeight="1">
      <c r="V947" s="59"/>
      <c r="W947" s="59"/>
      <c r="X947" s="60"/>
      <c r="Y947" s="59"/>
      <c r="Z947" s="59"/>
    </row>
    <row r="948" ht="15.75" customHeight="1">
      <c r="V948" s="59"/>
      <c r="W948" s="59"/>
      <c r="X948" s="60"/>
      <c r="Y948" s="59"/>
      <c r="Z948" s="59"/>
    </row>
    <row r="949" ht="15.75" customHeight="1">
      <c r="V949" s="59"/>
      <c r="W949" s="59"/>
      <c r="X949" s="60"/>
      <c r="Y949" s="59"/>
      <c r="Z949" s="59"/>
    </row>
    <row r="950" ht="15.75" customHeight="1">
      <c r="V950" s="59"/>
      <c r="W950" s="59"/>
      <c r="X950" s="60"/>
      <c r="Y950" s="59"/>
      <c r="Z950" s="59"/>
    </row>
    <row r="951" ht="15.75" customHeight="1">
      <c r="V951" s="59"/>
      <c r="W951" s="59"/>
      <c r="X951" s="60"/>
      <c r="Y951" s="59"/>
      <c r="Z951" s="59"/>
    </row>
    <row r="952" ht="15.75" customHeight="1">
      <c r="V952" s="59"/>
      <c r="W952" s="59"/>
      <c r="X952" s="60"/>
      <c r="Y952" s="59"/>
      <c r="Z952" s="59"/>
    </row>
    <row r="953" ht="15.75" customHeight="1">
      <c r="V953" s="59"/>
      <c r="W953" s="59"/>
      <c r="X953" s="60"/>
      <c r="Y953" s="59"/>
      <c r="Z953" s="59"/>
    </row>
    <row r="954" ht="15.75" customHeight="1">
      <c r="V954" s="59"/>
      <c r="W954" s="59"/>
      <c r="X954" s="60"/>
      <c r="Y954" s="59"/>
      <c r="Z954" s="59"/>
    </row>
    <row r="955" ht="15.75" customHeight="1">
      <c r="V955" s="59"/>
      <c r="W955" s="59"/>
      <c r="X955" s="60"/>
      <c r="Y955" s="59"/>
      <c r="Z955" s="59"/>
    </row>
    <row r="956" ht="15.75" customHeight="1">
      <c r="V956" s="59"/>
      <c r="W956" s="59"/>
      <c r="X956" s="60"/>
      <c r="Y956" s="59"/>
      <c r="Z956" s="59"/>
    </row>
    <row r="957" ht="15.75" customHeight="1">
      <c r="V957" s="59"/>
      <c r="W957" s="59"/>
      <c r="X957" s="60"/>
      <c r="Y957" s="59"/>
      <c r="Z957" s="59"/>
    </row>
    <row r="958" ht="15.75" customHeight="1">
      <c r="V958" s="59"/>
      <c r="W958" s="59"/>
      <c r="X958" s="60"/>
      <c r="Y958" s="59"/>
      <c r="Z958" s="59"/>
    </row>
    <row r="959" ht="15.75" customHeight="1">
      <c r="V959" s="59"/>
      <c r="W959" s="59"/>
      <c r="X959" s="60"/>
      <c r="Y959" s="59"/>
      <c r="Z959" s="59"/>
    </row>
    <row r="960" ht="15.75" customHeight="1">
      <c r="V960" s="59"/>
      <c r="W960" s="59"/>
      <c r="X960" s="60"/>
      <c r="Y960" s="59"/>
      <c r="Z960" s="59"/>
    </row>
    <row r="961" ht="15.75" customHeight="1">
      <c r="V961" s="59"/>
      <c r="W961" s="59"/>
      <c r="X961" s="60"/>
      <c r="Y961" s="59"/>
      <c r="Z961" s="59"/>
    </row>
    <row r="962" ht="15.75" customHeight="1">
      <c r="V962" s="59"/>
      <c r="W962" s="59"/>
      <c r="X962" s="60"/>
      <c r="Y962" s="59"/>
      <c r="Z962" s="59"/>
    </row>
    <row r="963" ht="15.75" customHeight="1">
      <c r="V963" s="59"/>
      <c r="W963" s="59"/>
      <c r="X963" s="60"/>
      <c r="Y963" s="59"/>
      <c r="Z963" s="59"/>
    </row>
    <row r="964" ht="15.75" customHeight="1">
      <c r="V964" s="59"/>
      <c r="W964" s="59"/>
      <c r="X964" s="60"/>
      <c r="Y964" s="59"/>
      <c r="Z964" s="59"/>
    </row>
    <row r="965" ht="15.75" customHeight="1">
      <c r="V965" s="59"/>
      <c r="W965" s="59"/>
      <c r="X965" s="60"/>
      <c r="Y965" s="59"/>
      <c r="Z965" s="59"/>
    </row>
    <row r="966" ht="15.75" customHeight="1">
      <c r="V966" s="59"/>
      <c r="W966" s="59"/>
      <c r="X966" s="60"/>
      <c r="Y966" s="59"/>
      <c r="Z966" s="59"/>
    </row>
    <row r="967" ht="15.75" customHeight="1">
      <c r="V967" s="59"/>
      <c r="W967" s="59"/>
      <c r="X967" s="60"/>
      <c r="Y967" s="59"/>
      <c r="Z967" s="59"/>
    </row>
    <row r="968" ht="15.75" customHeight="1">
      <c r="V968" s="59"/>
      <c r="W968" s="59"/>
      <c r="X968" s="60"/>
      <c r="Y968" s="59"/>
      <c r="Z968" s="59"/>
    </row>
    <row r="969" ht="15.75" customHeight="1">
      <c r="V969" s="59"/>
      <c r="W969" s="59"/>
      <c r="X969" s="60"/>
      <c r="Y969" s="59"/>
      <c r="Z969" s="59"/>
    </row>
    <row r="970" ht="15.75" customHeight="1">
      <c r="V970" s="59"/>
      <c r="W970" s="59"/>
      <c r="X970" s="60"/>
      <c r="Y970" s="59"/>
      <c r="Z970" s="59"/>
    </row>
    <row r="971" ht="15.75" customHeight="1">
      <c r="V971" s="59"/>
      <c r="W971" s="59"/>
      <c r="X971" s="60"/>
      <c r="Y971" s="59"/>
      <c r="Z971" s="59"/>
    </row>
    <row r="972" ht="15.75" customHeight="1">
      <c r="V972" s="59"/>
      <c r="W972" s="59"/>
      <c r="X972" s="60"/>
      <c r="Y972" s="59"/>
      <c r="Z972" s="59"/>
    </row>
    <row r="973" ht="15.75" customHeight="1">
      <c r="V973" s="59"/>
      <c r="W973" s="59"/>
      <c r="X973" s="60"/>
      <c r="Y973" s="59"/>
      <c r="Z973" s="59"/>
    </row>
    <row r="974" ht="15.75" customHeight="1">
      <c r="V974" s="59"/>
      <c r="W974" s="59"/>
      <c r="X974" s="60"/>
      <c r="Y974" s="59"/>
      <c r="Z974" s="59"/>
    </row>
    <row r="975" ht="15.75" customHeight="1">
      <c r="V975" s="59"/>
      <c r="W975" s="59"/>
      <c r="X975" s="60"/>
      <c r="Y975" s="59"/>
      <c r="Z975" s="59"/>
    </row>
    <row r="976" ht="15.75" customHeight="1">
      <c r="V976" s="59"/>
      <c r="W976" s="59"/>
      <c r="X976" s="60"/>
      <c r="Y976" s="59"/>
      <c r="Z976" s="59"/>
    </row>
    <row r="977" ht="15.75" customHeight="1">
      <c r="V977" s="59"/>
      <c r="W977" s="59"/>
      <c r="X977" s="60"/>
      <c r="Y977" s="59"/>
      <c r="Z977" s="59"/>
    </row>
    <row r="978" ht="15.75" customHeight="1">
      <c r="V978" s="59"/>
      <c r="W978" s="59"/>
      <c r="X978" s="60"/>
      <c r="Y978" s="59"/>
      <c r="Z978" s="59"/>
    </row>
    <row r="979" ht="15.75" customHeight="1">
      <c r="V979" s="59"/>
      <c r="W979" s="59"/>
      <c r="X979" s="60"/>
      <c r="Y979" s="59"/>
      <c r="Z979" s="59"/>
    </row>
    <row r="980" ht="15.75" customHeight="1">
      <c r="V980" s="59"/>
      <c r="W980" s="59"/>
      <c r="X980" s="60"/>
      <c r="Y980" s="59"/>
      <c r="Z980" s="59"/>
    </row>
    <row r="981" ht="15.75" customHeight="1">
      <c r="V981" s="59"/>
      <c r="W981" s="59"/>
      <c r="X981" s="60"/>
      <c r="Y981" s="59"/>
      <c r="Z981" s="59"/>
    </row>
    <row r="982" ht="15.75" customHeight="1">
      <c r="V982" s="59"/>
      <c r="W982" s="59"/>
      <c r="X982" s="60"/>
      <c r="Y982" s="59"/>
      <c r="Z982" s="59"/>
    </row>
    <row r="983" ht="15.75" customHeight="1">
      <c r="V983" s="59"/>
      <c r="W983" s="59"/>
      <c r="X983" s="60"/>
      <c r="Y983" s="59"/>
      <c r="Z983" s="59"/>
    </row>
    <row r="984" ht="15.75" customHeight="1">
      <c r="V984" s="59"/>
      <c r="W984" s="59"/>
      <c r="X984" s="60"/>
      <c r="Y984" s="59"/>
      <c r="Z984" s="59"/>
    </row>
    <row r="985" ht="15.75" customHeight="1">
      <c r="V985" s="59"/>
      <c r="W985" s="59"/>
      <c r="X985" s="60"/>
      <c r="Y985" s="59"/>
      <c r="Z985" s="59"/>
    </row>
    <row r="986" ht="15.75" customHeight="1">
      <c r="V986" s="59"/>
      <c r="W986" s="59"/>
      <c r="X986" s="60"/>
      <c r="Y986" s="59"/>
      <c r="Z986" s="59"/>
    </row>
    <row r="987" ht="15.75" customHeight="1">
      <c r="V987" s="59"/>
      <c r="W987" s="59"/>
      <c r="X987" s="60"/>
      <c r="Y987" s="59"/>
      <c r="Z987" s="59"/>
    </row>
    <row r="988" ht="15.75" customHeight="1">
      <c r="V988" s="59"/>
      <c r="W988" s="59"/>
      <c r="X988" s="60"/>
      <c r="Y988" s="59"/>
      <c r="Z988" s="59"/>
    </row>
    <row r="989" ht="15.75" customHeight="1">
      <c r="V989" s="59"/>
      <c r="W989" s="59"/>
      <c r="X989" s="60"/>
      <c r="Y989" s="59"/>
      <c r="Z989" s="59"/>
    </row>
    <row r="990" ht="15.75" customHeight="1">
      <c r="V990" s="59"/>
      <c r="W990" s="59"/>
      <c r="X990" s="60"/>
      <c r="Y990" s="59"/>
      <c r="Z990" s="59"/>
    </row>
    <row r="991" ht="15.75" customHeight="1">
      <c r="V991" s="59"/>
      <c r="W991" s="59"/>
      <c r="X991" s="60"/>
      <c r="Y991" s="59"/>
      <c r="Z991" s="59"/>
    </row>
    <row r="992" ht="15.75" customHeight="1">
      <c r="V992" s="59"/>
      <c r="W992" s="59"/>
      <c r="X992" s="60"/>
      <c r="Y992" s="59"/>
      <c r="Z992" s="59"/>
    </row>
    <row r="993" ht="15.75" customHeight="1">
      <c r="V993" s="59"/>
      <c r="W993" s="59"/>
      <c r="X993" s="60"/>
      <c r="Y993" s="59"/>
      <c r="Z993" s="59"/>
    </row>
    <row r="994" ht="15.75" customHeight="1">
      <c r="V994" s="59"/>
      <c r="W994" s="59"/>
      <c r="X994" s="60"/>
      <c r="Y994" s="59"/>
      <c r="Z994" s="59"/>
    </row>
    <row r="995" ht="15.75" customHeight="1">
      <c r="V995" s="59"/>
      <c r="W995" s="59"/>
      <c r="X995" s="60"/>
      <c r="Y995" s="59"/>
      <c r="Z995" s="59"/>
    </row>
    <row r="996" ht="15.75" customHeight="1">
      <c r="V996" s="59"/>
      <c r="W996" s="59"/>
      <c r="X996" s="60"/>
      <c r="Y996" s="59"/>
      <c r="Z996" s="59"/>
    </row>
    <row r="997" ht="15.75" customHeight="1">
      <c r="V997" s="59"/>
      <c r="W997" s="59"/>
      <c r="X997" s="60"/>
      <c r="Y997" s="59"/>
      <c r="Z997" s="59"/>
    </row>
    <row r="998" ht="15.75" customHeight="1">
      <c r="V998" s="59"/>
      <c r="W998" s="59"/>
      <c r="X998" s="60"/>
      <c r="Y998" s="59"/>
      <c r="Z998" s="59"/>
    </row>
    <row r="999" ht="15.75" customHeight="1">
      <c r="V999" s="59"/>
      <c r="W999" s="59"/>
      <c r="X999" s="60"/>
      <c r="Y999" s="59"/>
      <c r="Z999" s="59"/>
    </row>
    <row r="1000" ht="15.75" customHeight="1">
      <c r="V1000" s="59"/>
      <c r="W1000" s="59"/>
      <c r="X1000" s="60"/>
      <c r="Y1000" s="59"/>
      <c r="Z1000" s="59"/>
    </row>
  </sheetData>
  <autoFilter ref="$A$1:$Z$69"/>
  <dataValidations>
    <dataValidation type="list" allowBlank="1" sqref="V2:V69">
      <formula1>"approve,approve with my value,reject,ask AEA,skip for now,drop facility"</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6.0"/>
    <col customWidth="1" min="3" max="6" width="13.0"/>
    <col customWidth="1" min="7" max="7" width="24.0"/>
    <col customWidth="1" min="8" max="8" width="70.0"/>
    <col customWidth="1" min="9" max="11" width="13.0"/>
    <col customWidth="1" min="12" max="26" width="8.71"/>
  </cols>
  <sheetData>
    <row r="1">
      <c r="A1" s="3" t="s">
        <v>22</v>
      </c>
      <c r="B1" s="3" t="s">
        <v>188</v>
      </c>
      <c r="C1" s="3" t="s">
        <v>189</v>
      </c>
      <c r="D1" s="3" t="s">
        <v>190</v>
      </c>
      <c r="E1" s="3" t="s">
        <v>191</v>
      </c>
      <c r="F1" s="3" t="s">
        <v>192</v>
      </c>
      <c r="G1" s="3" t="s">
        <v>194</v>
      </c>
      <c r="H1" s="3" t="s">
        <v>195</v>
      </c>
      <c r="I1" s="3" t="s">
        <v>198</v>
      </c>
      <c r="J1" s="3" t="s">
        <v>200</v>
      </c>
      <c r="K1" s="3" t="s">
        <v>202</v>
      </c>
    </row>
    <row r="2">
      <c r="A2" s="5">
        <v>108.0</v>
      </c>
      <c r="B2" s="5" t="s">
        <v>206</v>
      </c>
      <c r="C2" s="5">
        <v>61.58083535</v>
      </c>
      <c r="D2" s="5">
        <v>-159.55105162</v>
      </c>
      <c r="E2" s="5">
        <v>6.0</v>
      </c>
      <c r="F2" s="5">
        <v>5.0</v>
      </c>
      <c r="G2" s="5" t="b">
        <v>1</v>
      </c>
      <c r="H2" s="7" t="s">
        <v>209</v>
      </c>
      <c r="I2" s="5">
        <v>142100.0</v>
      </c>
      <c r="J2" s="5" t="s">
        <v>211</v>
      </c>
      <c r="K2" s="10" t="str">
        <f>HYPERLINK("https://www.google.com/maps?q=61.58083535,-159.55105162","map: farm")</f>
        <v>map: farm</v>
      </c>
    </row>
    <row r="3">
      <c r="A3" s="21">
        <v>158.0</v>
      </c>
      <c r="B3" s="5" t="s">
        <v>222</v>
      </c>
      <c r="C3" s="5">
        <v>66.56796229</v>
      </c>
      <c r="D3" s="5">
        <v>-145.25809</v>
      </c>
      <c r="E3" s="5">
        <v>2.0</v>
      </c>
      <c r="F3" s="5">
        <v>1.0</v>
      </c>
      <c r="G3" s="5" t="b">
        <v>1</v>
      </c>
      <c r="H3" s="7" t="s">
        <v>224</v>
      </c>
      <c r="I3" s="5">
        <v>10500.0</v>
      </c>
      <c r="J3" s="5" t="s">
        <v>227</v>
      </c>
      <c r="K3" s="10" t="str">
        <f>HYPERLINK("https://www.google.com/maps?q=66.56796229,-145.25809","map: farm")</f>
        <v>map: farm</v>
      </c>
    </row>
    <row r="4">
      <c r="A4" s="21">
        <v>171.0</v>
      </c>
      <c r="B4" s="21" t="s">
        <v>235</v>
      </c>
      <c r="C4" s="21">
        <v>64.73391882</v>
      </c>
      <c r="D4" s="21">
        <v>-156.91880943</v>
      </c>
      <c r="E4" s="21">
        <v>3.0</v>
      </c>
      <c r="F4" s="21">
        <v>2.0</v>
      </c>
      <c r="G4" s="21" t="b">
        <v>1</v>
      </c>
      <c r="H4" s="24" t="s">
        <v>236</v>
      </c>
      <c r="I4" s="21">
        <v>100000.0</v>
      </c>
      <c r="J4" s="21" t="s">
        <v>211</v>
      </c>
      <c r="K4" s="26" t="str">
        <f>HYPERLINK("https://www.google.com/maps?q=64.73391882,-156.91880943","map: farm")</f>
        <v>map: farm</v>
      </c>
      <c r="L4" s="27"/>
      <c r="M4" s="27"/>
      <c r="N4" s="27"/>
      <c r="O4" s="27"/>
      <c r="P4" s="27"/>
      <c r="Q4" s="27"/>
      <c r="R4" s="27"/>
      <c r="S4" s="27"/>
      <c r="T4" s="27"/>
      <c r="U4" s="27"/>
      <c r="V4" s="27"/>
      <c r="W4" s="27"/>
      <c r="X4" s="27"/>
      <c r="Y4" s="27"/>
      <c r="Z4" s="27"/>
    </row>
    <row r="5">
      <c r="A5" s="5">
        <v>179.0</v>
      </c>
      <c r="B5" s="5" t="s">
        <v>241</v>
      </c>
      <c r="C5" s="5">
        <v>67.08767141</v>
      </c>
      <c r="D5" s="5">
        <v>-157.85672217</v>
      </c>
      <c r="E5" s="5">
        <v>2.0</v>
      </c>
      <c r="F5" s="5">
        <v>2.0</v>
      </c>
      <c r="G5" s="5" t="b">
        <v>0</v>
      </c>
      <c r="H5" s="7" t="s">
        <v>243</v>
      </c>
      <c r="I5" s="5">
        <v>74530.0</v>
      </c>
      <c r="J5" s="5" t="s">
        <v>211</v>
      </c>
      <c r="K5" s="10" t="str">
        <f>HYPERLINK("https://www.google.com/maps?q=67.08767141,-157.85672217","map: farm")</f>
        <v>map: farm</v>
      </c>
    </row>
    <row r="6">
      <c r="A6" s="5">
        <v>219.0</v>
      </c>
      <c r="B6" s="5" t="s">
        <v>250</v>
      </c>
      <c r="C6" s="5">
        <v>64.87964972</v>
      </c>
      <c r="D6" s="5">
        <v>-157.71866756</v>
      </c>
      <c r="E6" s="5">
        <v>2.0</v>
      </c>
      <c r="F6" s="5">
        <v>1.0</v>
      </c>
      <c r="G6" s="5" t="b">
        <v>1</v>
      </c>
      <c r="H6" s="7" t="s">
        <v>254</v>
      </c>
      <c r="I6" s="5">
        <v>1000.0</v>
      </c>
      <c r="J6" s="5" t="s">
        <v>211</v>
      </c>
      <c r="K6" s="10" t="str">
        <f>HYPERLINK("https://www.google.com/maps?q=64.87964972,-157.71866756","map: farm")</f>
        <v>map: farm</v>
      </c>
    </row>
    <row r="7">
      <c r="A7" s="5">
        <v>377.0</v>
      </c>
      <c r="B7" s="5" t="s">
        <v>259</v>
      </c>
      <c r="C7" s="5">
        <v>65.33271165</v>
      </c>
      <c r="D7" s="5">
        <v>-166.49422415</v>
      </c>
      <c r="E7" s="5">
        <v>6.0</v>
      </c>
      <c r="F7" s="5">
        <v>5.0</v>
      </c>
      <c r="G7" s="5" t="b">
        <v>1</v>
      </c>
      <c r="H7" s="7" t="s">
        <v>260</v>
      </c>
      <c r="I7" s="5">
        <v>4750.0</v>
      </c>
      <c r="J7" s="5" t="s">
        <v>211</v>
      </c>
      <c r="K7" s="10" t="str">
        <f>HYPERLINK("https://www.google.com/maps?q=65.33271165,-166.49422415","map: farm")</f>
        <v>map: farm</v>
      </c>
    </row>
    <row r="8">
      <c r="A8" s="5">
        <v>385.0</v>
      </c>
      <c r="B8" s="5" t="s">
        <v>275</v>
      </c>
      <c r="C8" s="5">
        <v>65.97994995</v>
      </c>
      <c r="D8" s="5">
        <v>-161.13175297</v>
      </c>
      <c r="E8" s="5">
        <v>5.0</v>
      </c>
      <c r="F8" s="5">
        <v>4.0</v>
      </c>
      <c r="G8" s="5" t="b">
        <v>1</v>
      </c>
      <c r="H8" s="7" t="s">
        <v>276</v>
      </c>
      <c r="I8" s="5">
        <v>4600.0</v>
      </c>
      <c r="J8" s="5" t="s">
        <v>211</v>
      </c>
      <c r="K8" s="10" t="str">
        <f>HYPERLINK("https://www.google.com/maps?q=65.97994995,-161.13175297","map: farm")</f>
        <v>map: farm</v>
      </c>
    </row>
    <row r="9">
      <c r="A9" s="5">
        <v>397.0</v>
      </c>
      <c r="B9" s="5" t="s">
        <v>278</v>
      </c>
      <c r="C9" s="5">
        <v>70.12919302</v>
      </c>
      <c r="D9" s="5">
        <v>-143.60957182</v>
      </c>
      <c r="E9" s="5">
        <v>3.0</v>
      </c>
      <c r="F9" s="5">
        <v>2.0</v>
      </c>
      <c r="G9" s="5" t="b">
        <v>1</v>
      </c>
      <c r="H9" s="7" t="s">
        <v>279</v>
      </c>
      <c r="I9" s="5">
        <v>4000.0</v>
      </c>
      <c r="J9" s="5" t="s">
        <v>211</v>
      </c>
      <c r="K9" s="10" t="str">
        <f>HYPERLINK("https://www.google.com/maps?q=70.12919302,-143.60957182","map: farm")</f>
        <v>map: farm</v>
      </c>
    </row>
    <row r="10">
      <c r="A10" s="5">
        <v>403.0</v>
      </c>
      <c r="B10" s="5" t="s">
        <v>278</v>
      </c>
      <c r="C10" s="5">
        <v>70.12871985</v>
      </c>
      <c r="D10" s="5">
        <v>-143.6220736</v>
      </c>
      <c r="E10" s="5">
        <v>2.0</v>
      </c>
      <c r="F10" s="5">
        <v>1.0</v>
      </c>
      <c r="G10" s="5" t="b">
        <v>1</v>
      </c>
      <c r="H10" s="7" t="s">
        <v>287</v>
      </c>
      <c r="I10" s="5">
        <v>200000.0</v>
      </c>
      <c r="J10" s="5" t="s">
        <v>211</v>
      </c>
      <c r="K10" s="10" t="str">
        <f>HYPERLINK("https://www.google.com/maps?q=70.12871985,-143.6220736","map: farm")</f>
        <v>map: farm</v>
      </c>
    </row>
    <row r="11">
      <c r="A11" s="5">
        <v>408.0</v>
      </c>
      <c r="B11" s="5" t="s">
        <v>289</v>
      </c>
      <c r="C11" s="5">
        <v>66.97150852</v>
      </c>
      <c r="D11" s="5">
        <v>-160.43825735</v>
      </c>
      <c r="E11" s="5">
        <v>3.0</v>
      </c>
      <c r="F11" s="5">
        <v>2.0</v>
      </c>
      <c r="G11" s="5" t="b">
        <v>1</v>
      </c>
      <c r="H11" s="7" t="s">
        <v>292</v>
      </c>
      <c r="I11" s="5">
        <v>54600.0</v>
      </c>
      <c r="J11" s="5" t="s">
        <v>211</v>
      </c>
      <c r="K11" s="10" t="str">
        <f>HYPERLINK("https://www.google.com/maps?q=66.97150852,-160.43825735","map: farm")</f>
        <v>map: farm</v>
      </c>
    </row>
    <row r="12">
      <c r="A12" s="5">
        <v>410.0</v>
      </c>
      <c r="B12" s="5" t="s">
        <v>289</v>
      </c>
      <c r="C12" s="5">
        <v>66.97392587</v>
      </c>
      <c r="D12" s="5">
        <v>-160.42911638</v>
      </c>
      <c r="E12" s="5">
        <v>2.0</v>
      </c>
      <c r="F12" s="5">
        <v>1.0</v>
      </c>
      <c r="G12" s="5" t="b">
        <v>1</v>
      </c>
      <c r="H12" s="7" t="s">
        <v>298</v>
      </c>
      <c r="I12" s="5">
        <v>120300.0</v>
      </c>
      <c r="J12" s="5" t="s">
        <v>211</v>
      </c>
      <c r="K12" s="10" t="str">
        <f>HYPERLINK("https://www.google.com/maps?q=66.97392587,-160.42911638","map: farm")</f>
        <v>map: farm</v>
      </c>
    </row>
    <row r="13">
      <c r="A13" s="21">
        <v>415.0</v>
      </c>
      <c r="B13" s="21" t="s">
        <v>275</v>
      </c>
      <c r="C13" s="21">
        <v>65.98050676</v>
      </c>
      <c r="D13" s="21">
        <v>-161.13845313</v>
      </c>
      <c r="E13" s="21">
        <v>2.0</v>
      </c>
      <c r="F13" s="21">
        <v>2.0</v>
      </c>
      <c r="G13" s="21" t="b">
        <v>0</v>
      </c>
      <c r="H13" s="24" t="s">
        <v>298</v>
      </c>
      <c r="I13" s="21">
        <v>2900.0</v>
      </c>
      <c r="J13" s="21" t="s">
        <v>211</v>
      </c>
      <c r="K13" s="26" t="str">
        <f>HYPERLINK("https://www.google.com/maps?q=65.98050676,-161.13845313","map: farm")</f>
        <v>map: farm</v>
      </c>
      <c r="L13" s="27"/>
      <c r="M13" s="27"/>
      <c r="N13" s="27"/>
      <c r="O13" s="27"/>
      <c r="P13" s="27"/>
      <c r="Q13" s="27"/>
      <c r="R13" s="27"/>
      <c r="S13" s="27"/>
      <c r="T13" s="27"/>
      <c r="U13" s="27"/>
      <c r="V13" s="27"/>
      <c r="W13" s="27"/>
      <c r="X13" s="27"/>
      <c r="Y13" s="27"/>
      <c r="Z13" s="27"/>
    </row>
    <row r="14">
      <c r="A14" s="5">
        <v>565.0</v>
      </c>
      <c r="B14" s="5" t="s">
        <v>306</v>
      </c>
      <c r="C14" s="5">
        <v>63.77911319</v>
      </c>
      <c r="D14" s="5">
        <v>-171.73405841</v>
      </c>
      <c r="E14" s="5">
        <v>2.0</v>
      </c>
      <c r="F14" s="5">
        <v>1.0</v>
      </c>
      <c r="G14" s="5" t="b">
        <v>1</v>
      </c>
      <c r="H14" s="7" t="s">
        <v>310</v>
      </c>
      <c r="I14" s="5">
        <v>2700.0</v>
      </c>
      <c r="J14" s="5" t="s">
        <v>211</v>
      </c>
      <c r="K14" s="10" t="str">
        <f>HYPERLINK("https://www.google.com/maps?q=63.77911319,-171.73405841","map: farm")</f>
        <v>map: farm</v>
      </c>
    </row>
    <row r="15">
      <c r="A15" s="21">
        <v>621.0</v>
      </c>
      <c r="B15" s="21" t="s">
        <v>134</v>
      </c>
      <c r="C15" s="21">
        <v>59.75552294</v>
      </c>
      <c r="D15" s="21">
        <v>-154.90217449</v>
      </c>
      <c r="E15" s="21">
        <v>2.0</v>
      </c>
      <c r="F15" s="21">
        <v>2.0</v>
      </c>
      <c r="G15" s="21" t="b">
        <v>0</v>
      </c>
      <c r="H15" s="24" t="s">
        <v>316</v>
      </c>
      <c r="I15" s="21">
        <v>2700.0</v>
      </c>
      <c r="J15" s="21" t="s">
        <v>211</v>
      </c>
      <c r="K15" s="26" t="str">
        <f>HYPERLINK("https://www.google.com/maps?q=59.75552294,-154.90217449","map: farm")</f>
        <v>map: farm</v>
      </c>
      <c r="L15" s="27"/>
      <c r="M15" s="27"/>
      <c r="N15" s="27"/>
      <c r="O15" s="27"/>
      <c r="P15" s="27"/>
      <c r="Q15" s="27"/>
      <c r="R15" s="27"/>
      <c r="S15" s="27"/>
      <c r="T15" s="27"/>
      <c r="U15" s="27"/>
      <c r="V15" s="27"/>
      <c r="W15" s="27"/>
      <c r="X15" s="27"/>
      <c r="Y15" s="27"/>
      <c r="Z15" s="27"/>
    </row>
    <row r="16">
      <c r="A16" s="21">
        <v>694.0</v>
      </c>
      <c r="B16" s="21" t="s">
        <v>259</v>
      </c>
      <c r="C16" s="21">
        <v>65.33289523</v>
      </c>
      <c r="D16" s="21">
        <v>-166.48642428</v>
      </c>
      <c r="E16" s="21">
        <v>4.0</v>
      </c>
      <c r="F16" s="21">
        <v>4.0</v>
      </c>
      <c r="G16" s="21" t="b">
        <v>0</v>
      </c>
      <c r="H16" s="24" t="s">
        <v>329</v>
      </c>
      <c r="I16" s="21">
        <v>52000.0</v>
      </c>
      <c r="J16" s="21" t="s">
        <v>211</v>
      </c>
      <c r="K16" s="26" t="str">
        <f>HYPERLINK("https://www.google.com/maps?q=65.33289523,-166.48642428","map: farm")</f>
        <v>map: farm</v>
      </c>
      <c r="L16" s="27"/>
      <c r="M16" s="27"/>
      <c r="N16" s="27"/>
      <c r="O16" s="27"/>
      <c r="P16" s="27"/>
      <c r="Q16" s="27"/>
      <c r="R16" s="27"/>
      <c r="S16" s="27"/>
      <c r="T16" s="27"/>
      <c r="U16" s="27"/>
      <c r="V16" s="27"/>
      <c r="W16" s="27"/>
      <c r="X16" s="27"/>
      <c r="Y16" s="27"/>
      <c r="Z16" s="27"/>
    </row>
    <row r="17">
      <c r="A17" s="5">
        <v>706.0</v>
      </c>
      <c r="B17" s="5" t="s">
        <v>332</v>
      </c>
      <c r="C17" s="5">
        <v>63.51568716</v>
      </c>
      <c r="D17" s="5">
        <v>-162.2855574</v>
      </c>
      <c r="E17" s="5">
        <v>2.0</v>
      </c>
      <c r="F17" s="5">
        <v>1.0</v>
      </c>
      <c r="G17" s="5" t="b">
        <v>1</v>
      </c>
      <c r="H17" s="7" t="s">
        <v>336</v>
      </c>
      <c r="I17" s="5">
        <v>3000.0</v>
      </c>
      <c r="J17" s="5" t="s">
        <v>211</v>
      </c>
      <c r="K17" s="10" t="str">
        <f>HYPERLINK("https://www.google.com/maps?q=63.51568716,-162.2855574","map: farm")</f>
        <v>map: farm</v>
      </c>
    </row>
    <row r="18">
      <c r="A18" s="21">
        <v>710.0</v>
      </c>
      <c r="B18" s="21" t="s">
        <v>232</v>
      </c>
      <c r="C18" s="21">
        <v>60.85685837</v>
      </c>
      <c r="D18" s="21">
        <v>-162.27652783</v>
      </c>
      <c r="E18" s="21">
        <v>7.0</v>
      </c>
      <c r="F18" s="21">
        <v>7.0</v>
      </c>
      <c r="G18" s="21" t="b">
        <v>0</v>
      </c>
      <c r="H18" s="24" t="s">
        <v>343</v>
      </c>
      <c r="I18" s="21">
        <v>24700.0</v>
      </c>
      <c r="J18" s="21" t="s">
        <v>211</v>
      </c>
      <c r="K18" s="26" t="str">
        <f>HYPERLINK("https://www.google.com/maps?q=60.85685837,-162.27652783","map: farm")</f>
        <v>map: farm</v>
      </c>
      <c r="L18" s="27"/>
      <c r="M18" s="27"/>
      <c r="N18" s="27"/>
      <c r="O18" s="27"/>
      <c r="P18" s="27"/>
      <c r="Q18" s="27"/>
      <c r="R18" s="27"/>
      <c r="S18" s="27"/>
      <c r="T18" s="27"/>
      <c r="U18" s="27"/>
      <c r="V18" s="27"/>
      <c r="W18" s="27"/>
      <c r="X18" s="27"/>
      <c r="Y18" s="27"/>
      <c r="Z18" s="27"/>
    </row>
    <row r="19">
      <c r="A19" s="21">
        <v>830.0</v>
      </c>
      <c r="B19" s="21" t="s">
        <v>180</v>
      </c>
      <c r="C19" s="21">
        <v>60.8107704</v>
      </c>
      <c r="D19" s="21">
        <v>-161.42255776</v>
      </c>
      <c r="E19" s="21">
        <v>2.0</v>
      </c>
      <c r="F19" s="21">
        <v>2.0</v>
      </c>
      <c r="G19" s="21" t="b">
        <v>0</v>
      </c>
      <c r="H19" s="24" t="s">
        <v>351</v>
      </c>
      <c r="I19" s="21">
        <v>76156.0</v>
      </c>
      <c r="J19" s="21" t="s">
        <v>211</v>
      </c>
      <c r="K19" s="26" t="str">
        <f>HYPERLINK("https://www.google.com/maps?q=60.8107704,-161.42255776","map: farm")</f>
        <v>map: farm</v>
      </c>
      <c r="L19" s="27"/>
      <c r="M19" s="27"/>
      <c r="N19" s="27"/>
      <c r="O19" s="27"/>
      <c r="P19" s="27"/>
      <c r="Q19" s="27"/>
      <c r="R19" s="27"/>
      <c r="S19" s="27"/>
      <c r="T19" s="27"/>
      <c r="U19" s="27"/>
      <c r="V19" s="27"/>
      <c r="W19" s="27"/>
      <c r="X19" s="27"/>
      <c r="Y19" s="27"/>
      <c r="Z19" s="27"/>
    </row>
    <row r="20">
      <c r="A20" s="5">
        <v>1087.0</v>
      </c>
      <c r="B20" s="5" t="s">
        <v>354</v>
      </c>
      <c r="C20" s="5">
        <v>70.48153169</v>
      </c>
      <c r="D20" s="5">
        <v>-157.42508015</v>
      </c>
      <c r="E20" s="5">
        <v>3.0</v>
      </c>
      <c r="F20" s="5">
        <v>2.0</v>
      </c>
      <c r="G20" s="5" t="b">
        <v>1</v>
      </c>
      <c r="H20" s="7" t="s">
        <v>359</v>
      </c>
      <c r="I20" s="5">
        <v>2000.0</v>
      </c>
      <c r="J20" s="5" t="s">
        <v>211</v>
      </c>
      <c r="K20" s="10" t="str">
        <f>HYPERLINK("https://www.google.com/maps?q=70.48153169,-157.42508015","map: farm")</f>
        <v>map: farm</v>
      </c>
    </row>
    <row r="21" ht="15.75" customHeight="1">
      <c r="A21" s="5">
        <v>1094.0</v>
      </c>
      <c r="B21" s="5" t="s">
        <v>354</v>
      </c>
      <c r="C21" s="5">
        <v>70.48333467</v>
      </c>
      <c r="D21" s="5">
        <v>-157.42603502</v>
      </c>
      <c r="E21" s="5">
        <v>5.0</v>
      </c>
      <c r="F21" s="5">
        <v>4.0</v>
      </c>
      <c r="G21" s="5" t="b">
        <v>1</v>
      </c>
      <c r="H21" s="7" t="s">
        <v>365</v>
      </c>
      <c r="I21" s="5">
        <v>2000.0</v>
      </c>
      <c r="J21" s="5" t="s">
        <v>366</v>
      </c>
      <c r="K21" s="10" t="str">
        <f>HYPERLINK("https://www.google.com/maps?q=70.48333467,-157.42603502","map: farm")</f>
        <v>map: farm</v>
      </c>
    </row>
    <row r="22" ht="15.75" customHeight="1">
      <c r="A22" s="5">
        <v>1095.0</v>
      </c>
      <c r="B22" s="5" t="s">
        <v>354</v>
      </c>
      <c r="C22" s="5">
        <v>70.48240452</v>
      </c>
      <c r="D22" s="5">
        <v>-157.42530546</v>
      </c>
      <c r="E22" s="5">
        <v>3.0</v>
      </c>
      <c r="F22" s="5">
        <v>2.0</v>
      </c>
      <c r="G22" s="5" t="b">
        <v>1</v>
      </c>
      <c r="H22" s="7" t="s">
        <v>376</v>
      </c>
      <c r="I22" s="5">
        <v>2000.0</v>
      </c>
      <c r="J22" s="5" t="s">
        <v>366</v>
      </c>
      <c r="K22" s="10" t="str">
        <f>HYPERLINK("https://www.google.com/maps?q=70.48240452,-157.42530546","map: farm")</f>
        <v>map: farm</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2"/>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0"/>
    <col customWidth="1" min="2" max="26" width="8.71"/>
  </cols>
  <sheetData>
    <row r="1">
      <c r="A1" s="32" t="s">
        <v>393</v>
      </c>
    </row>
    <row r="2">
      <c r="A2" s="34"/>
    </row>
    <row r="3">
      <c r="A3" s="35" t="s">
        <v>399</v>
      </c>
    </row>
    <row r="4">
      <c r="A4" s="34" t="s">
        <v>402</v>
      </c>
    </row>
    <row r="5">
      <c r="A5" s="34" t="s">
        <v>403</v>
      </c>
    </row>
    <row r="6">
      <c r="A6" s="34" t="s">
        <v>404</v>
      </c>
    </row>
    <row r="7">
      <c r="A7" s="34" t="s">
        <v>406</v>
      </c>
    </row>
    <row r="8">
      <c r="A8" s="34"/>
    </row>
    <row r="9">
      <c r="A9" s="35" t="s">
        <v>409</v>
      </c>
    </row>
    <row r="10">
      <c r="A10" s="34" t="s">
        <v>410</v>
      </c>
    </row>
    <row r="11">
      <c r="A11" s="34" t="s">
        <v>411</v>
      </c>
    </row>
    <row r="12">
      <c r="A12" s="34" t="s">
        <v>412</v>
      </c>
    </row>
    <row r="13">
      <c r="A13" s="34"/>
    </row>
    <row r="14">
      <c r="A14" s="35" t="s">
        <v>413</v>
      </c>
    </row>
    <row r="15">
      <c r="A15" s="34" t="s">
        <v>415</v>
      </c>
    </row>
    <row r="16">
      <c r="A16" s="34" t="s">
        <v>416</v>
      </c>
    </row>
    <row r="17">
      <c r="A17" s="34" t="s">
        <v>417</v>
      </c>
    </row>
    <row r="18">
      <c r="A18" s="34"/>
    </row>
    <row r="19">
      <c r="A19" s="35" t="s">
        <v>418</v>
      </c>
    </row>
    <row r="20">
      <c r="A20" s="34" t="s">
        <v>419</v>
      </c>
    </row>
    <row r="21" ht="15.75" customHeight="1">
      <c r="A21" s="34" t="s">
        <v>420</v>
      </c>
    </row>
    <row r="22" ht="15.75" customHeight="1">
      <c r="A22" s="34" t="s">
        <v>422</v>
      </c>
    </row>
    <row r="23" ht="15.75" customHeight="1">
      <c r="A23" s="34" t="s">
        <v>423</v>
      </c>
    </row>
    <row r="24" ht="15.75" customHeight="1">
      <c r="A24" s="34"/>
    </row>
    <row r="25" ht="15.75" customHeight="1">
      <c r="A25" s="35" t="s">
        <v>426</v>
      </c>
    </row>
    <row r="26" ht="15.75" customHeight="1">
      <c r="A26" s="34" t="s">
        <v>428</v>
      </c>
    </row>
    <row r="27" ht="15.75" customHeight="1">
      <c r="A27" s="34" t="s">
        <v>429</v>
      </c>
    </row>
    <row r="28" ht="15.75" customHeight="1">
      <c r="A28" s="34"/>
    </row>
    <row r="29" ht="15.75" customHeight="1">
      <c r="A29" s="35" t="s">
        <v>430</v>
      </c>
    </row>
    <row r="30" ht="15.75" customHeight="1">
      <c r="A30" s="34" t="s">
        <v>431</v>
      </c>
    </row>
    <row r="31" ht="15.75" customHeight="1">
      <c r="A31" s="34" t="s">
        <v>433</v>
      </c>
    </row>
    <row r="32" ht="15.75" customHeight="1">
      <c r="A32" s="34" t="s">
        <v>434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2026-10-06T05:29:54Z</dcterms:created>
  <dc:creator>openpyxl</dc:creator>
</cp:coreProperties>
</file>